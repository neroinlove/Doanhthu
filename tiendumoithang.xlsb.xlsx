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5df690e3a79b486/hoanglong/"/>
    </mc:Choice>
  </mc:AlternateContent>
  <xr:revisionPtr revIDLastSave="1177" documentId="8_{6648B8AC-EE1D-4AD8-8CC2-896CD253DD6F}" xr6:coauthVersionLast="47" xr6:coauthVersionMax="47" xr10:uidLastSave="{AA2BD139-1CED-438F-88F0-BB05974D7967}"/>
  <bookViews>
    <workbookView xWindow="2660" yWindow="2660" windowWidth="28800" windowHeight="15370" xr2:uid="{00000000-000D-0000-FFFF-FFFF00000000}"/>
  </bookViews>
  <sheets>
    <sheet name="thuốc tháng 6.2026" sheetId="26" r:id="rId1"/>
    <sheet name="thuốc tháng 5.2026" sheetId="25" r:id="rId2"/>
    <sheet name="thuốc tháng 4.2026" sheetId="24" r:id="rId3"/>
    <sheet name="thuốc tháng 3.2026" sheetId="23" r:id="rId4"/>
    <sheet name="thuốc tháng 2.2026" sheetId="22" r:id="rId5"/>
    <sheet name="thuốc tháng 1.2026" sheetId="21" r:id="rId6"/>
    <sheet name="thuốc tháng 12.2025" sheetId="20" r:id="rId7"/>
    <sheet name="thuốc tháng 11.2025" sheetId="19" r:id="rId8"/>
    <sheet name="thuốc tháng 10.2025" sheetId="18" r:id="rId9"/>
    <sheet name="thuốc tháng 9.2025" sheetId="17" r:id="rId10"/>
    <sheet name="thuốc tháng 8.2025" sheetId="16" r:id="rId11"/>
    <sheet name="thuốc tháng 7.2025" sheetId="15" r:id="rId12"/>
    <sheet name="thuốc tháng 6.2025 " sheetId="14" r:id="rId13"/>
    <sheet name="thuốc tháng 5.2025" sheetId="11" r:id="rId14"/>
    <sheet name="thuốc tháng 4.2025" sheetId="8" r:id="rId15"/>
    <sheet name="thuốc tháng 3.2025" sheetId="6" r:id="rId16"/>
    <sheet name="thuốc tháng 2.2025" sheetId="5" r:id="rId17"/>
    <sheet name="tháng 6.2025" sheetId="13" r:id="rId18"/>
    <sheet name="tháng 5.2025" sheetId="10" r:id="rId19"/>
    <sheet name="tháng 4.2025" sheetId="9" r:id="rId20"/>
    <sheet name="tháng 3.2025" sheetId="7" r:id="rId21"/>
    <sheet name="tháng 2.2025" sheetId="4" r:id="rId22"/>
    <sheet name="tháng 1" sheetId="2" r:id="rId23"/>
    <sheet name="tháng 12" sheetId="1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26" l="1"/>
  <c r="J32" i="25"/>
  <c r="H31" i="26"/>
  <c r="H30" i="26"/>
  <c r="H29" i="26"/>
  <c r="H28" i="26"/>
  <c r="H27" i="26"/>
  <c r="H26" i="26"/>
  <c r="H25" i="26"/>
  <c r="H24" i="26"/>
  <c r="H23" i="26"/>
  <c r="H22" i="26"/>
  <c r="H21" i="26"/>
  <c r="H20" i="26"/>
  <c r="H19" i="26"/>
  <c r="H18" i="26"/>
  <c r="H17" i="26"/>
  <c r="H16" i="26"/>
  <c r="H15" i="26"/>
  <c r="H14" i="26"/>
  <c r="H13" i="26"/>
  <c r="H12" i="26"/>
  <c r="H11" i="26"/>
  <c r="H10" i="26"/>
  <c r="H9" i="26"/>
  <c r="H8" i="26"/>
  <c r="H7" i="26"/>
  <c r="H6" i="26"/>
  <c r="H5" i="26"/>
  <c r="H4" i="26"/>
  <c r="H3" i="26"/>
  <c r="H2" i="26"/>
  <c r="J31" i="25"/>
  <c r="J30" i="25"/>
  <c r="J29" i="25"/>
  <c r="J28" i="25"/>
  <c r="J27" i="25"/>
  <c r="J26" i="25"/>
  <c r="J25" i="25"/>
  <c r="J24" i="25"/>
  <c r="J23" i="25"/>
  <c r="J22" i="25"/>
  <c r="J21" i="25"/>
  <c r="J20" i="25"/>
  <c r="J19" i="25"/>
  <c r="J18" i="25"/>
  <c r="J17" i="25"/>
  <c r="J16" i="25"/>
  <c r="J15" i="25"/>
  <c r="J14" i="25"/>
  <c r="J13" i="25"/>
  <c r="J12" i="25"/>
  <c r="J11" i="25"/>
  <c r="J10" i="25"/>
  <c r="J9" i="25"/>
  <c r="J8" i="25"/>
  <c r="J7" i="25"/>
  <c r="J6" i="25"/>
  <c r="J5" i="25"/>
  <c r="J4" i="25"/>
  <c r="J3" i="25"/>
  <c r="J2" i="25"/>
  <c r="J2" i="24"/>
  <c r="H32" i="23"/>
  <c r="J31" i="24"/>
  <c r="J30" i="24"/>
  <c r="J29" i="24"/>
  <c r="J28" i="24"/>
  <c r="J27" i="24"/>
  <c r="J26" i="24"/>
  <c r="J25" i="24"/>
  <c r="J24" i="24"/>
  <c r="J23" i="24"/>
  <c r="J22" i="24"/>
  <c r="J21" i="24"/>
  <c r="J20" i="24"/>
  <c r="J19" i="24"/>
  <c r="J18" i="24"/>
  <c r="J17" i="24"/>
  <c r="J16" i="24"/>
  <c r="J15" i="24"/>
  <c r="J14" i="24"/>
  <c r="J13" i="24"/>
  <c r="J12" i="24"/>
  <c r="J11" i="24"/>
  <c r="J10" i="24"/>
  <c r="J9" i="24"/>
  <c r="J8" i="24"/>
  <c r="J7" i="24"/>
  <c r="J6" i="24"/>
  <c r="J5" i="24"/>
  <c r="J4" i="24"/>
  <c r="J3" i="24"/>
  <c r="H31" i="23"/>
  <c r="H30" i="23"/>
  <c r="F35" i="21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H4" i="23"/>
  <c r="H3" i="23"/>
  <c r="H2" i="23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E3" i="22"/>
  <c r="E12" i="22"/>
  <c r="E5" i="22"/>
  <c r="E6" i="22"/>
  <c r="H11" i="22"/>
  <c r="H14" i="22"/>
  <c r="H13" i="22"/>
  <c r="H12" i="22"/>
  <c r="H33" i="21"/>
  <c r="H32" i="21"/>
  <c r="E31" i="21"/>
  <c r="E27" i="21"/>
  <c r="E28" i="21"/>
  <c r="E30" i="21"/>
  <c r="H10" i="22"/>
  <c r="H9" i="22"/>
  <c r="H8" i="22"/>
  <c r="H7" i="22"/>
  <c r="H6" i="22"/>
  <c r="H5" i="22"/>
  <c r="H4" i="22"/>
  <c r="H3" i="22"/>
  <c r="H2" i="22"/>
  <c r="H32" i="20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H7" i="20"/>
  <c r="H6" i="20"/>
  <c r="H5" i="20"/>
  <c r="H4" i="20"/>
  <c r="H3" i="20"/>
  <c r="H2" i="20"/>
  <c r="E33" i="17"/>
  <c r="F35" i="18"/>
  <c r="H32" i="18"/>
  <c r="H33" i="18" s="1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H2" i="19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2" i="18"/>
  <c r="G33" i="16"/>
  <c r="G32" i="16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2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2" i="16"/>
  <c r="G3" i="16"/>
  <c r="G27" i="15"/>
  <c r="G30" i="15"/>
  <c r="G32" i="15"/>
  <c r="G4" i="16"/>
  <c r="G23" i="15"/>
  <c r="G24" i="15"/>
  <c r="G25" i="15"/>
  <c r="G26" i="15"/>
  <c r="G28" i="15"/>
  <c r="G29" i="15"/>
  <c r="G31" i="15"/>
  <c r="G22" i="15"/>
  <c r="D33" i="14"/>
  <c r="F53" i="14"/>
  <c r="G2" i="15"/>
  <c r="G21" i="15"/>
  <c r="G20" i="15"/>
  <c r="G19" i="15"/>
  <c r="G18" i="15"/>
  <c r="G17" i="15"/>
  <c r="G16" i="15"/>
  <c r="G15" i="15"/>
  <c r="G14" i="15"/>
  <c r="G13" i="15"/>
  <c r="G12" i="15"/>
  <c r="G11" i="15"/>
  <c r="G9" i="15"/>
  <c r="G8" i="15"/>
  <c r="G7" i="15"/>
  <c r="G6" i="15"/>
  <c r="G5" i="15"/>
  <c r="G4" i="15"/>
  <c r="G3" i="15"/>
  <c r="J33" i="25" l="1"/>
  <c r="J32" i="24"/>
  <c r="H33" i="23"/>
  <c r="H30" i="22"/>
  <c r="H33" i="20"/>
  <c r="H32" i="19"/>
  <c r="G32" i="17"/>
  <c r="G33" i="15"/>
  <c r="H32" i="10"/>
  <c r="J32" i="10" s="1"/>
  <c r="E32" i="11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H11" i="13"/>
  <c r="J11" i="13" s="1"/>
  <c r="E32" i="13"/>
  <c r="H31" i="13"/>
  <c r="J31" i="13" s="1"/>
  <c r="E31" i="13"/>
  <c r="H30" i="13"/>
  <c r="J30" i="13" s="1"/>
  <c r="E30" i="13"/>
  <c r="J29" i="13"/>
  <c r="H29" i="13"/>
  <c r="E29" i="13"/>
  <c r="H28" i="13"/>
  <c r="J28" i="13" s="1"/>
  <c r="E28" i="13"/>
  <c r="H27" i="13"/>
  <c r="J27" i="13" s="1"/>
  <c r="E27" i="13"/>
  <c r="H26" i="13"/>
  <c r="J26" i="13" s="1"/>
  <c r="E26" i="13"/>
  <c r="H25" i="13"/>
  <c r="J25" i="13" s="1"/>
  <c r="E25" i="13"/>
  <c r="H24" i="13"/>
  <c r="J24" i="13" s="1"/>
  <c r="E24" i="13"/>
  <c r="H23" i="13"/>
  <c r="J23" i="13" s="1"/>
  <c r="E23" i="13"/>
  <c r="H22" i="13"/>
  <c r="J22" i="13" s="1"/>
  <c r="H21" i="13"/>
  <c r="J21" i="13" s="1"/>
  <c r="E21" i="13"/>
  <c r="H20" i="13"/>
  <c r="J20" i="13" s="1"/>
  <c r="E20" i="13"/>
  <c r="H19" i="13"/>
  <c r="J19" i="13" s="1"/>
  <c r="E19" i="13"/>
  <c r="H18" i="13"/>
  <c r="J18" i="13" s="1"/>
  <c r="H17" i="13"/>
  <c r="J17" i="13" s="1"/>
  <c r="E17" i="13"/>
  <c r="H16" i="13"/>
  <c r="J16" i="13" s="1"/>
  <c r="E16" i="13"/>
  <c r="H15" i="13"/>
  <c r="J15" i="13" s="1"/>
  <c r="E15" i="13"/>
  <c r="H14" i="13"/>
  <c r="J14" i="13" s="1"/>
  <c r="E14" i="13"/>
  <c r="H13" i="13"/>
  <c r="J13" i="13" s="1"/>
  <c r="E13" i="13"/>
  <c r="H12" i="13"/>
  <c r="J12" i="13" s="1"/>
  <c r="E12" i="13"/>
  <c r="H10" i="13"/>
  <c r="J10" i="13" s="1"/>
  <c r="H9" i="13"/>
  <c r="J9" i="13" s="1"/>
  <c r="E9" i="13"/>
  <c r="H8" i="13"/>
  <c r="J8" i="13" s="1"/>
  <c r="E8" i="13"/>
  <c r="H7" i="13"/>
  <c r="J7" i="13" s="1"/>
  <c r="E7" i="13"/>
  <c r="H6" i="13"/>
  <c r="J6" i="13" s="1"/>
  <c r="E6" i="13"/>
  <c r="H5" i="13"/>
  <c r="J5" i="13" s="1"/>
  <c r="E5" i="13"/>
  <c r="H4" i="13"/>
  <c r="J4" i="13" s="1"/>
  <c r="E4" i="13"/>
  <c r="H3" i="13"/>
  <c r="J3" i="13" s="1"/>
  <c r="E3" i="13"/>
  <c r="H2" i="13"/>
  <c r="J2" i="13" s="1"/>
  <c r="E2" i="13"/>
  <c r="E32" i="10"/>
  <c r="J20" i="7"/>
  <c r="J31" i="4"/>
  <c r="J32" i="9"/>
  <c r="H27" i="10"/>
  <c r="J20" i="10"/>
  <c r="H30" i="9"/>
  <c r="J30" i="9" s="1"/>
  <c r="J4" i="10"/>
  <c r="J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H3" i="10"/>
  <c r="J3" i="10" s="1"/>
  <c r="H4" i="10"/>
  <c r="H5" i="10"/>
  <c r="J5" i="10" s="1"/>
  <c r="H6" i="10"/>
  <c r="J6" i="10" s="1"/>
  <c r="H7" i="10"/>
  <c r="J7" i="10" s="1"/>
  <c r="H8" i="10"/>
  <c r="J8" i="10" s="1"/>
  <c r="H9" i="10"/>
  <c r="J9" i="10" s="1"/>
  <c r="H10" i="10"/>
  <c r="J10" i="10" s="1"/>
  <c r="J11" i="10"/>
  <c r="H12" i="10"/>
  <c r="J12" i="10" s="1"/>
  <c r="H13" i="10"/>
  <c r="J13" i="10" s="1"/>
  <c r="H14" i="10"/>
  <c r="J14" i="10" s="1"/>
  <c r="H15" i="10"/>
  <c r="J15" i="10" s="1"/>
  <c r="H16" i="10"/>
  <c r="J16" i="10" s="1"/>
  <c r="H17" i="10"/>
  <c r="J17" i="10" s="1"/>
  <c r="H18" i="10"/>
  <c r="J18" i="10" s="1"/>
  <c r="H19" i="10"/>
  <c r="J19" i="10" s="1"/>
  <c r="H20" i="10"/>
  <c r="H21" i="10"/>
  <c r="J21" i="10" s="1"/>
  <c r="H22" i="10"/>
  <c r="J22" i="10" s="1"/>
  <c r="H23" i="10"/>
  <c r="J23" i="10" s="1"/>
  <c r="H24" i="10"/>
  <c r="J24" i="10" s="1"/>
  <c r="H25" i="10"/>
  <c r="J25" i="10" s="1"/>
  <c r="H26" i="10"/>
  <c r="J26" i="10" s="1"/>
  <c r="J27" i="10"/>
  <c r="H28" i="10"/>
  <c r="J28" i="10" s="1"/>
  <c r="H29" i="10"/>
  <c r="J29" i="10" s="1"/>
  <c r="H30" i="10"/>
  <c r="J30" i="10" s="1"/>
  <c r="H31" i="10"/>
  <c r="J31" i="10" s="1"/>
  <c r="H2" i="10"/>
  <c r="E2" i="10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5" i="11"/>
  <c r="E4" i="11"/>
  <c r="E3" i="11"/>
  <c r="E2" i="11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3" i="8" s="1"/>
  <c r="E2" i="8"/>
  <c r="H3" i="9"/>
  <c r="H4" i="9"/>
  <c r="J4" i="9" s="1"/>
  <c r="H5" i="9"/>
  <c r="H6" i="9"/>
  <c r="J6" i="9" s="1"/>
  <c r="H7" i="9"/>
  <c r="J7" i="9" s="1"/>
  <c r="H8" i="9"/>
  <c r="J8" i="9" s="1"/>
  <c r="H9" i="9"/>
  <c r="J9" i="9" s="1"/>
  <c r="H10" i="9"/>
  <c r="J10" i="9" s="1"/>
  <c r="H11" i="9"/>
  <c r="J11" i="9" s="1"/>
  <c r="H12" i="9"/>
  <c r="J12" i="9" s="1"/>
  <c r="H13" i="9"/>
  <c r="J13" i="9" s="1"/>
  <c r="H14" i="9"/>
  <c r="J14" i="9" s="1"/>
  <c r="H15" i="9"/>
  <c r="J15" i="9" s="1"/>
  <c r="H16" i="9"/>
  <c r="J16" i="9" s="1"/>
  <c r="H17" i="9"/>
  <c r="J17" i="9" s="1"/>
  <c r="H18" i="9"/>
  <c r="J18" i="9" s="1"/>
  <c r="H19" i="9"/>
  <c r="J19" i="9" s="1"/>
  <c r="H20" i="9"/>
  <c r="H21" i="9"/>
  <c r="H22" i="9"/>
  <c r="J22" i="9" s="1"/>
  <c r="H23" i="9"/>
  <c r="J23" i="9" s="1"/>
  <c r="H24" i="9"/>
  <c r="J24" i="9" s="1"/>
  <c r="H25" i="9"/>
  <c r="J25" i="9" s="1"/>
  <c r="H26" i="9"/>
  <c r="J26" i="9" s="1"/>
  <c r="H27" i="9"/>
  <c r="J27" i="9" s="1"/>
  <c r="H28" i="9"/>
  <c r="J28" i="9" s="1"/>
  <c r="H29" i="9"/>
  <c r="J29" i="9" s="1"/>
  <c r="H31" i="9"/>
  <c r="J31" i="9" s="1"/>
  <c r="J3" i="9"/>
  <c r="J5" i="9"/>
  <c r="J20" i="9"/>
  <c r="J21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J32" i="7"/>
  <c r="E2" i="9"/>
  <c r="H2" i="9"/>
  <c r="J2" i="9" s="1"/>
  <c r="H30" i="7"/>
  <c r="J30" i="7" s="1"/>
  <c r="H31" i="7"/>
  <c r="J31" i="7" s="1"/>
  <c r="H32" i="7"/>
  <c r="E33" i="2"/>
  <c r="E31" i="4"/>
  <c r="G23" i="4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2" i="6"/>
  <c r="H29" i="7"/>
  <c r="J29" i="7" s="1"/>
  <c r="H28" i="7"/>
  <c r="J28" i="7" s="1"/>
  <c r="H27" i="7"/>
  <c r="J27" i="7" s="1"/>
  <c r="H26" i="7"/>
  <c r="J26" i="7" s="1"/>
  <c r="H25" i="7"/>
  <c r="J25" i="7" s="1"/>
  <c r="H24" i="7"/>
  <c r="J24" i="7" s="1"/>
  <c r="H23" i="7"/>
  <c r="J23" i="7" s="1"/>
  <c r="H22" i="7"/>
  <c r="J22" i="7" s="1"/>
  <c r="H21" i="7"/>
  <c r="J21" i="7" s="1"/>
  <c r="H20" i="7"/>
  <c r="H19" i="7"/>
  <c r="J19" i="7" s="1"/>
  <c r="H18" i="7"/>
  <c r="J18" i="7" s="1"/>
  <c r="H17" i="7"/>
  <c r="J17" i="7" s="1"/>
  <c r="H16" i="7"/>
  <c r="J16" i="7" s="1"/>
  <c r="H15" i="7"/>
  <c r="J15" i="7" s="1"/>
  <c r="H14" i="7"/>
  <c r="J14" i="7" s="1"/>
  <c r="H13" i="7"/>
  <c r="J13" i="7" s="1"/>
  <c r="H12" i="7"/>
  <c r="J12" i="7" s="1"/>
  <c r="H11" i="7"/>
  <c r="J11" i="7" s="1"/>
  <c r="H10" i="7"/>
  <c r="J10" i="7" s="1"/>
  <c r="H9" i="7"/>
  <c r="J9" i="7" s="1"/>
  <c r="H8" i="7"/>
  <c r="J8" i="7" s="1"/>
  <c r="H7" i="7"/>
  <c r="J7" i="7" s="1"/>
  <c r="H6" i="7"/>
  <c r="J6" i="7" s="1"/>
  <c r="H5" i="7"/>
  <c r="J5" i="7" s="1"/>
  <c r="H4" i="7"/>
  <c r="J4" i="7" s="1"/>
  <c r="H3" i="7"/>
  <c r="J3" i="7" s="1"/>
  <c r="H2" i="7"/>
  <c r="J2" i="7" s="1"/>
  <c r="E2" i="7"/>
  <c r="H22" i="4"/>
  <c r="J22" i="4" s="1"/>
  <c r="C14" i="5"/>
  <c r="C16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1" i="5"/>
  <c r="D22" i="5"/>
  <c r="D23" i="5"/>
  <c r="D24" i="5"/>
  <c r="D25" i="5"/>
  <c r="D28" i="5"/>
  <c r="D29" i="5"/>
  <c r="D3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J3" i="4"/>
  <c r="J6" i="4"/>
  <c r="J7" i="4"/>
  <c r="J8" i="4"/>
  <c r="J9" i="4"/>
  <c r="J10" i="4"/>
  <c r="J11" i="4"/>
  <c r="J12" i="4"/>
  <c r="J28" i="4"/>
  <c r="J29" i="4"/>
  <c r="H3" i="4"/>
  <c r="H4" i="4"/>
  <c r="J4" i="4" s="1"/>
  <c r="H5" i="4"/>
  <c r="J5" i="4" s="1"/>
  <c r="H6" i="4"/>
  <c r="H7" i="4"/>
  <c r="H8" i="4"/>
  <c r="H9" i="4"/>
  <c r="H10" i="4"/>
  <c r="H11" i="4"/>
  <c r="H12" i="4"/>
  <c r="H13" i="4"/>
  <c r="J13" i="4" s="1"/>
  <c r="H14" i="4"/>
  <c r="J14" i="4" s="1"/>
  <c r="H15" i="4"/>
  <c r="J15" i="4" s="1"/>
  <c r="H16" i="4"/>
  <c r="J16" i="4" s="1"/>
  <c r="H17" i="4"/>
  <c r="J17" i="4" s="1"/>
  <c r="H18" i="4"/>
  <c r="J18" i="4" s="1"/>
  <c r="H19" i="4"/>
  <c r="J19" i="4" s="1"/>
  <c r="H20" i="4"/>
  <c r="J20" i="4" s="1"/>
  <c r="H21" i="4"/>
  <c r="J21" i="4" s="1"/>
  <c r="H23" i="4"/>
  <c r="J23" i="4" s="1"/>
  <c r="H24" i="4"/>
  <c r="J24" i="4" s="1"/>
  <c r="H25" i="4"/>
  <c r="J25" i="4" s="1"/>
  <c r="H26" i="4"/>
  <c r="J26" i="4" s="1"/>
  <c r="H27" i="4"/>
  <c r="J27" i="4" s="1"/>
  <c r="H28" i="4"/>
  <c r="H29" i="4"/>
  <c r="H2" i="4"/>
  <c r="J2" i="4" s="1"/>
  <c r="E2" i="4"/>
  <c r="H24" i="2"/>
  <c r="H4" i="2"/>
  <c r="J4" i="2" s="1"/>
  <c r="J32" i="2"/>
  <c r="J2" i="2"/>
  <c r="H3" i="2"/>
  <c r="J3" i="2" s="1"/>
  <c r="H5" i="2"/>
  <c r="J5" i="2" s="1"/>
  <c r="H6" i="2"/>
  <c r="J6" i="2" s="1"/>
  <c r="H7" i="2"/>
  <c r="J7" i="2" s="1"/>
  <c r="H8" i="2"/>
  <c r="J8" i="2" s="1"/>
  <c r="H9" i="2"/>
  <c r="J9" i="2" s="1"/>
  <c r="H10" i="2"/>
  <c r="J10" i="2" s="1"/>
  <c r="H11" i="2"/>
  <c r="J11" i="2" s="1"/>
  <c r="H12" i="2"/>
  <c r="J12" i="2" s="1"/>
  <c r="H13" i="2"/>
  <c r="J13" i="2" s="1"/>
  <c r="H14" i="2"/>
  <c r="J14" i="2" s="1"/>
  <c r="H15" i="2"/>
  <c r="J15" i="2" s="1"/>
  <c r="H16" i="2"/>
  <c r="J16" i="2" s="1"/>
  <c r="H17" i="2"/>
  <c r="J17" i="2" s="1"/>
  <c r="H18" i="2"/>
  <c r="J18" i="2" s="1"/>
  <c r="H19" i="2"/>
  <c r="J19" i="2" s="1"/>
  <c r="H20" i="2"/>
  <c r="J20" i="2" s="1"/>
  <c r="H21" i="2"/>
  <c r="J21" i="2" s="1"/>
  <c r="H22" i="2"/>
  <c r="J22" i="2" s="1"/>
  <c r="H23" i="2"/>
  <c r="J23" i="2" s="1"/>
  <c r="J24" i="2"/>
  <c r="H25" i="2"/>
  <c r="J25" i="2" s="1"/>
  <c r="H26" i="2"/>
  <c r="J26" i="2" s="1"/>
  <c r="H27" i="2"/>
  <c r="J27" i="2" s="1"/>
  <c r="H28" i="2"/>
  <c r="J28" i="2" s="1"/>
  <c r="H29" i="2"/>
  <c r="J29" i="2" s="1"/>
  <c r="H30" i="2"/>
  <c r="J30" i="2" s="1"/>
  <c r="H31" i="2"/>
  <c r="J31" i="2" s="1"/>
  <c r="H32" i="2"/>
  <c r="H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E38" i="1"/>
  <c r="J38" i="1"/>
  <c r="J35" i="1"/>
  <c r="J36" i="1"/>
  <c r="H35" i="1"/>
  <c r="H36" i="1"/>
  <c r="H28" i="1"/>
  <c r="H27" i="1"/>
  <c r="H25" i="1"/>
  <c r="J25" i="1" s="1"/>
  <c r="H26" i="1"/>
  <c r="J26" i="1" s="1"/>
  <c r="J27" i="1"/>
  <c r="J28" i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14" i="1"/>
  <c r="J14" i="1" s="1"/>
  <c r="H13" i="1"/>
  <c r="J13" i="1" s="1"/>
  <c r="H12" i="1"/>
  <c r="J12" i="1" s="1"/>
  <c r="H11" i="1"/>
  <c r="J11" i="1" s="1"/>
  <c r="J6" i="1"/>
  <c r="H7" i="1"/>
  <c r="J7" i="1" s="1"/>
  <c r="H8" i="1"/>
  <c r="J8" i="1" s="1"/>
  <c r="H9" i="1"/>
  <c r="J9" i="1" s="1"/>
  <c r="H10" i="1"/>
  <c r="J10" i="1" s="1"/>
  <c r="H6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2" i="1"/>
  <c r="E3" i="1"/>
  <c r="E4" i="1"/>
  <c r="J2" i="1"/>
  <c r="J3" i="1"/>
  <c r="J4" i="1"/>
  <c r="J5" i="1"/>
  <c r="E5" i="1"/>
  <c r="E33" i="14" l="1"/>
  <c r="E33" i="11"/>
  <c r="J33" i="10"/>
  <c r="E33" i="13"/>
  <c r="J33" i="13"/>
  <c r="E33" i="10"/>
  <c r="E32" i="9"/>
  <c r="D33" i="6"/>
  <c r="E33" i="7"/>
</calcChain>
</file>

<file path=xl/sharedStrings.xml><?xml version="1.0" encoding="utf-8"?>
<sst xmlns="http://schemas.openxmlformats.org/spreadsheetml/2006/main" count="201" uniqueCount="29">
  <si>
    <t>Thời Gian</t>
  </si>
  <si>
    <t>Sáng</t>
  </si>
  <si>
    <t>Trưa</t>
  </si>
  <si>
    <t>Tối</t>
  </si>
  <si>
    <t>Tổng</t>
  </si>
  <si>
    <t>Tiền thực tế</t>
  </si>
  <si>
    <t>Tiền trên app</t>
  </si>
  <si>
    <t>Dư thiếu</t>
  </si>
  <si>
    <t>Tiền ck</t>
  </si>
  <si>
    <t>Tiền mặt</t>
  </si>
  <si>
    <t>Ck</t>
  </si>
  <si>
    <t>Ngày</t>
  </si>
  <si>
    <t>25-28/1: 298</t>
  </si>
  <si>
    <t>Tổng tiền hàng thiếu tháng 2: 1038</t>
  </si>
  <si>
    <t xml:space="preserve"> </t>
  </si>
  <si>
    <t>Tien tra them</t>
  </si>
  <si>
    <t>Sách bù 537 lương qua tiền thiếu ca sangs</t>
  </si>
  <si>
    <t>Tổng hàng thiếu tháng 3: 1003</t>
  </si>
  <si>
    <t>ngày 28/5 thiếu 100</t>
  </si>
  <si>
    <t>Tiền chi thuốc</t>
  </si>
  <si>
    <t>6h30-13h</t>
  </si>
  <si>
    <t>13h-17h</t>
  </si>
  <si>
    <t>17h-22h</t>
  </si>
  <si>
    <t>20-22h30</t>
  </si>
  <si>
    <t>17h-20h</t>
  </si>
  <si>
    <t>Ck thuoc</t>
  </si>
  <si>
    <t>Ck dung cu</t>
  </si>
  <si>
    <t>15h-22h30</t>
  </si>
  <si>
    <t>6h30-15h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</si>
</sst>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00773-1CF5-4673-829A-A543BC937C62}">
  <dimension ref="A1:K33"/>
  <sheetViews>
    <sheetView tabSelected="1" workbookViewId="0">
      <selection activeCell="B28" sqref="B28"/>
    </sheetView>
  </sheetViews>
  <sheetFormatPr defaultColWidth="8.81640625" defaultRowHeight="14.5" x14ac:dyDescent="0.35"/>
  <cols>
    <col min="1" max="1" width="13.90625" style="8" customWidth="1"/>
    <col min="2" max="2" width="13" style="5" customWidth="1"/>
    <col min="3" max="3" width="17.36328125" style="5" customWidth="1"/>
    <col min="4" max="7" width="15.81640625" style="5" customWidth="1"/>
    <col min="8" max="8" width="14.81640625" style="5" customWidth="1"/>
  </cols>
  <sheetData>
    <row r="1" spans="1:8" s="3" customFormat="1" ht="15.5" x14ac:dyDescent="0.35">
      <c r="A1" s="7" t="s">
        <v>11</v>
      </c>
      <c r="B1" s="4" t="s">
        <v>28</v>
      </c>
      <c r="C1" s="4" t="s">
        <v>27</v>
      </c>
      <c r="D1" s="4" t="s">
        <v>10</v>
      </c>
      <c r="E1" s="4" t="s">
        <v>25</v>
      </c>
      <c r="F1" s="4" t="s">
        <v>26</v>
      </c>
      <c r="G1" s="4" t="s">
        <v>15</v>
      </c>
      <c r="H1" s="4" t="s">
        <v>4</v>
      </c>
    </row>
    <row r="2" spans="1:8" x14ac:dyDescent="0.35">
      <c r="A2" s="8">
        <v>46174</v>
      </c>
      <c r="B2" s="5">
        <v>8150</v>
      </c>
      <c r="C2" s="5">
        <v>8028</v>
      </c>
      <c r="D2" s="5">
        <v>3600</v>
      </c>
      <c r="E2" s="5">
        <v>687</v>
      </c>
      <c r="H2" s="5">
        <f>SUM(B2:G2)</f>
        <v>20465</v>
      </c>
    </row>
    <row r="3" spans="1:8" x14ac:dyDescent="0.35">
      <c r="A3" s="8">
        <v>46175</v>
      </c>
      <c r="B3" s="5">
        <v>7600</v>
      </c>
      <c r="C3" s="5">
        <v>7600</v>
      </c>
      <c r="D3" s="5">
        <v>5100</v>
      </c>
      <c r="E3" s="5">
        <v>265</v>
      </c>
      <c r="F3" s="5">
        <v>565</v>
      </c>
      <c r="H3" s="5">
        <f t="shared" ref="H3:H31" si="0">SUM(B3:G3)</f>
        <v>21130</v>
      </c>
    </row>
    <row r="4" spans="1:8" x14ac:dyDescent="0.35">
      <c r="A4" s="8">
        <v>46176</v>
      </c>
      <c r="B4" s="5">
        <v>10200</v>
      </c>
      <c r="C4" s="5">
        <v>5500</v>
      </c>
      <c r="D4" s="5">
        <v>4400</v>
      </c>
      <c r="E4" s="5">
        <v>1800</v>
      </c>
      <c r="H4" s="5">
        <f t="shared" si="0"/>
        <v>21900</v>
      </c>
    </row>
    <row r="5" spans="1:8" x14ac:dyDescent="0.35">
      <c r="A5" s="8">
        <v>46177</v>
      </c>
      <c r="B5" s="5">
        <v>5600</v>
      </c>
      <c r="C5" s="5">
        <v>7100</v>
      </c>
      <c r="D5" s="5">
        <v>1700</v>
      </c>
      <c r="E5" s="5">
        <v>750</v>
      </c>
      <c r="H5" s="5">
        <f t="shared" si="0"/>
        <v>15150</v>
      </c>
    </row>
    <row r="6" spans="1:8" x14ac:dyDescent="0.35">
      <c r="A6" s="8">
        <v>46178</v>
      </c>
      <c r="B6" s="5">
        <v>7000</v>
      </c>
      <c r="C6" s="5">
        <v>5700</v>
      </c>
      <c r="D6" s="5">
        <v>3300</v>
      </c>
      <c r="E6" s="5">
        <v>1000</v>
      </c>
      <c r="H6" s="5">
        <f t="shared" si="0"/>
        <v>17000</v>
      </c>
    </row>
    <row r="7" spans="1:8" x14ac:dyDescent="0.35">
      <c r="A7" s="8">
        <v>46179</v>
      </c>
      <c r="B7" s="5">
        <v>6900</v>
      </c>
      <c r="C7" s="5">
        <v>5000</v>
      </c>
      <c r="D7" s="5">
        <v>1500</v>
      </c>
      <c r="E7" s="5">
        <v>1200</v>
      </c>
      <c r="F7" s="5">
        <v>1400</v>
      </c>
      <c r="H7" s="5">
        <f t="shared" si="0"/>
        <v>16000</v>
      </c>
    </row>
    <row r="8" spans="1:8" x14ac:dyDescent="0.35">
      <c r="A8" s="8">
        <v>46180</v>
      </c>
      <c r="B8" s="5">
        <v>7500</v>
      </c>
      <c r="C8" s="5">
        <v>6900</v>
      </c>
      <c r="D8" s="5">
        <v>1700</v>
      </c>
      <c r="E8" s="5">
        <v>260</v>
      </c>
      <c r="F8" s="5">
        <v>1200</v>
      </c>
      <c r="H8" s="5">
        <f t="shared" si="0"/>
        <v>17560</v>
      </c>
    </row>
    <row r="9" spans="1:8" x14ac:dyDescent="0.35">
      <c r="A9" s="8">
        <v>46181</v>
      </c>
      <c r="B9" s="5">
        <v>8000</v>
      </c>
      <c r="C9" s="5">
        <v>8000</v>
      </c>
      <c r="D9" s="5">
        <v>3500</v>
      </c>
      <c r="E9" s="5">
        <v>1300</v>
      </c>
      <c r="F9" s="5">
        <v>50</v>
      </c>
      <c r="H9" s="5">
        <f t="shared" si="0"/>
        <v>20850</v>
      </c>
    </row>
    <row r="10" spans="1:8" x14ac:dyDescent="0.35">
      <c r="A10" s="8">
        <v>46182</v>
      </c>
      <c r="B10" s="5">
        <v>8000</v>
      </c>
      <c r="C10" s="5">
        <v>5900</v>
      </c>
      <c r="D10" s="5">
        <v>3700</v>
      </c>
      <c r="E10" s="5">
        <v>2300</v>
      </c>
      <c r="H10" s="5">
        <f t="shared" si="0"/>
        <v>19900</v>
      </c>
    </row>
    <row r="11" spans="1:8" x14ac:dyDescent="0.35">
      <c r="A11" s="8">
        <v>46183</v>
      </c>
      <c r="B11" s="5">
        <v>5400</v>
      </c>
      <c r="C11" s="5">
        <v>4300</v>
      </c>
      <c r="D11" s="5">
        <v>2300</v>
      </c>
      <c r="E11" s="5">
        <v>900</v>
      </c>
      <c r="H11" s="5">
        <f t="shared" si="0"/>
        <v>12900</v>
      </c>
    </row>
    <row r="12" spans="1:8" x14ac:dyDescent="0.35">
      <c r="A12" s="8">
        <v>46184</v>
      </c>
      <c r="B12" s="5">
        <v>7400</v>
      </c>
      <c r="C12" s="5">
        <v>4350</v>
      </c>
      <c r="D12" s="5">
        <v>3000</v>
      </c>
      <c r="E12" s="5">
        <v>1300</v>
      </c>
      <c r="F12" s="5">
        <v>1800</v>
      </c>
      <c r="H12" s="5">
        <f t="shared" si="0"/>
        <v>17850</v>
      </c>
    </row>
    <row r="13" spans="1:8" x14ac:dyDescent="0.35">
      <c r="A13" s="8">
        <v>46185</v>
      </c>
      <c r="B13" s="5">
        <v>5800</v>
      </c>
      <c r="C13" s="5">
        <v>8200</v>
      </c>
      <c r="D13" s="5">
        <v>2700</v>
      </c>
      <c r="E13" s="5">
        <v>2000</v>
      </c>
      <c r="F13" s="5">
        <v>270</v>
      </c>
      <c r="H13" s="5">
        <f t="shared" si="0"/>
        <v>18970</v>
      </c>
    </row>
    <row r="14" spans="1:8" x14ac:dyDescent="0.35">
      <c r="A14" s="8">
        <v>46186</v>
      </c>
      <c r="B14" s="5">
        <v>4800</v>
      </c>
      <c r="C14" s="5">
        <v>5400</v>
      </c>
      <c r="D14" s="5">
        <v>2000</v>
      </c>
      <c r="E14" s="5">
        <v>406</v>
      </c>
      <c r="F14" s="5">
        <v>600</v>
      </c>
      <c r="H14" s="5">
        <f t="shared" si="0"/>
        <v>13206</v>
      </c>
    </row>
    <row r="15" spans="1:8" x14ac:dyDescent="0.35">
      <c r="A15" s="8">
        <v>46187</v>
      </c>
      <c r="B15" s="5">
        <v>6800</v>
      </c>
      <c r="C15" s="5">
        <v>4000</v>
      </c>
      <c r="D15" s="5">
        <v>2900</v>
      </c>
      <c r="E15" s="5">
        <v>500</v>
      </c>
      <c r="H15" s="5">
        <f t="shared" si="0"/>
        <v>14200</v>
      </c>
    </row>
    <row r="16" spans="1:8" x14ac:dyDescent="0.35">
      <c r="A16" s="8">
        <v>46188</v>
      </c>
      <c r="B16" s="5">
        <v>5850</v>
      </c>
      <c r="C16" s="5">
        <v>7300</v>
      </c>
      <c r="D16" s="5">
        <v>1300</v>
      </c>
      <c r="E16" s="5">
        <v>1700</v>
      </c>
      <c r="F16" s="5">
        <v>650</v>
      </c>
      <c r="H16" s="5">
        <f t="shared" si="0"/>
        <v>16800</v>
      </c>
    </row>
    <row r="17" spans="1:10" x14ac:dyDescent="0.35">
      <c r="A17" s="8">
        <v>46189</v>
      </c>
      <c r="B17" s="5">
        <v>6300</v>
      </c>
      <c r="C17" s="5">
        <v>6000</v>
      </c>
      <c r="D17" s="5">
        <v>4600</v>
      </c>
      <c r="E17" s="5">
        <v>100</v>
      </c>
      <c r="F17" s="5">
        <v>650</v>
      </c>
      <c r="H17" s="5">
        <f t="shared" si="0"/>
        <v>17650</v>
      </c>
    </row>
    <row r="18" spans="1:10" x14ac:dyDescent="0.35">
      <c r="A18" s="8">
        <v>46190</v>
      </c>
      <c r="B18" s="5">
        <v>9200</v>
      </c>
      <c r="C18" s="5">
        <v>3200</v>
      </c>
      <c r="D18" s="5">
        <v>1500</v>
      </c>
      <c r="E18" s="5">
        <v>600</v>
      </c>
      <c r="F18" s="5">
        <v>3900</v>
      </c>
      <c r="H18" s="5">
        <f t="shared" si="0"/>
        <v>18400</v>
      </c>
    </row>
    <row r="19" spans="1:10" x14ac:dyDescent="0.35">
      <c r="A19" s="8">
        <v>46191</v>
      </c>
      <c r="B19" s="5">
        <v>6100</v>
      </c>
      <c r="C19" s="5">
        <v>6100</v>
      </c>
      <c r="D19" s="5">
        <v>2200</v>
      </c>
      <c r="E19" s="5">
        <v>600</v>
      </c>
      <c r="F19" s="5">
        <v>700</v>
      </c>
      <c r="H19" s="5">
        <f t="shared" si="0"/>
        <v>15700</v>
      </c>
    </row>
    <row r="20" spans="1:10" x14ac:dyDescent="0.35">
      <c r="A20" s="8">
        <v>46192</v>
      </c>
      <c r="B20" s="5">
        <v>7400</v>
      </c>
      <c r="C20" s="5">
        <v>4700</v>
      </c>
      <c r="D20" s="5">
        <v>2700</v>
      </c>
      <c r="E20" s="5">
        <v>900</v>
      </c>
      <c r="F20" s="5">
        <v>800</v>
      </c>
      <c r="H20" s="5">
        <f t="shared" si="0"/>
        <v>16500</v>
      </c>
    </row>
    <row r="21" spans="1:10" x14ac:dyDescent="0.35">
      <c r="A21" s="8">
        <v>46193</v>
      </c>
      <c r="B21" s="5">
        <v>4400</v>
      </c>
      <c r="C21" s="5">
        <v>5100</v>
      </c>
      <c r="D21" s="5">
        <v>4100</v>
      </c>
      <c r="E21" s="5">
        <v>1000</v>
      </c>
      <c r="F21" s="5">
        <v>2200</v>
      </c>
      <c r="H21" s="5">
        <f t="shared" si="0"/>
        <v>16800</v>
      </c>
    </row>
    <row r="22" spans="1:10" x14ac:dyDescent="0.35">
      <c r="A22" s="8">
        <v>46194</v>
      </c>
      <c r="B22" s="5">
        <v>7200</v>
      </c>
      <c r="C22" s="5">
        <v>5300</v>
      </c>
      <c r="D22" s="5">
        <v>2700</v>
      </c>
      <c r="E22" s="5">
        <v>100</v>
      </c>
      <c r="F22" s="5">
        <v>800</v>
      </c>
      <c r="H22" s="5">
        <f t="shared" si="0"/>
        <v>16100</v>
      </c>
    </row>
    <row r="23" spans="1:10" x14ac:dyDescent="0.35">
      <c r="A23" s="8">
        <v>46195</v>
      </c>
      <c r="B23" s="5">
        <v>8300</v>
      </c>
      <c r="C23" s="5">
        <v>5800</v>
      </c>
      <c r="D23" s="5">
        <v>2500</v>
      </c>
      <c r="E23" s="5">
        <v>1400</v>
      </c>
      <c r="F23" s="5">
        <v>700</v>
      </c>
      <c r="H23" s="5">
        <f t="shared" si="0"/>
        <v>18700</v>
      </c>
    </row>
    <row r="24" spans="1:10" x14ac:dyDescent="0.35">
      <c r="A24" s="8">
        <v>46196</v>
      </c>
      <c r="B24" s="5">
        <v>6800</v>
      </c>
      <c r="C24" s="5">
        <v>5300</v>
      </c>
      <c r="D24" s="5">
        <v>2700</v>
      </c>
      <c r="E24" s="5">
        <v>1400</v>
      </c>
      <c r="F24" s="5">
        <v>250</v>
      </c>
      <c r="H24" s="5">
        <f t="shared" si="0"/>
        <v>16450</v>
      </c>
    </row>
    <row r="25" spans="1:10" x14ac:dyDescent="0.35">
      <c r="A25" s="8">
        <v>46197</v>
      </c>
      <c r="B25" s="5">
        <v>6100</v>
      </c>
      <c r="C25" s="5">
        <v>7400</v>
      </c>
      <c r="D25" s="5">
        <v>3800</v>
      </c>
      <c r="E25" s="5">
        <v>2300</v>
      </c>
      <c r="F25" s="5">
        <v>2300</v>
      </c>
      <c r="H25" s="5">
        <f t="shared" si="0"/>
        <v>21900</v>
      </c>
    </row>
    <row r="26" spans="1:10" x14ac:dyDescent="0.35">
      <c r="A26" s="8">
        <v>46198</v>
      </c>
      <c r="B26" s="5">
        <v>6400</v>
      </c>
      <c r="C26" s="5">
        <v>6000</v>
      </c>
      <c r="D26" s="5">
        <v>3600</v>
      </c>
      <c r="F26" s="5">
        <v>2700</v>
      </c>
      <c r="H26" s="5">
        <f t="shared" si="0"/>
        <v>18700</v>
      </c>
      <c r="I26" s="5"/>
      <c r="J26" s="5"/>
    </row>
    <row r="27" spans="1:10" x14ac:dyDescent="0.35">
      <c r="A27" s="8">
        <v>46199</v>
      </c>
      <c r="B27" s="5">
        <v>5400</v>
      </c>
      <c r="C27" s="5">
        <v>7500</v>
      </c>
      <c r="D27" s="5">
        <v>2800</v>
      </c>
      <c r="E27" s="5">
        <v>2400</v>
      </c>
      <c r="H27" s="5">
        <f t="shared" si="0"/>
        <v>18100</v>
      </c>
    </row>
    <row r="28" spans="1:10" x14ac:dyDescent="0.35">
      <c r="A28" s="8">
        <v>46200</v>
      </c>
      <c r="B28" s="5">
        <v>8000</v>
      </c>
      <c r="C28" s="5">
        <v>4800</v>
      </c>
      <c r="D28" s="5">
        <v>745</v>
      </c>
      <c r="E28" s="5">
        <v>3600</v>
      </c>
      <c r="F28" s="5">
        <v>2600</v>
      </c>
      <c r="H28" s="5">
        <f t="shared" si="0"/>
        <v>19745</v>
      </c>
    </row>
    <row r="29" spans="1:10" x14ac:dyDescent="0.35">
      <c r="A29" s="8">
        <v>46201</v>
      </c>
      <c r="B29" s="5">
        <v>7900</v>
      </c>
      <c r="C29" s="5">
        <v>7200</v>
      </c>
      <c r="D29" s="5">
        <v>3900</v>
      </c>
      <c r="E29" s="5">
        <v>1000</v>
      </c>
      <c r="H29" s="5">
        <f t="shared" si="0"/>
        <v>20000</v>
      </c>
    </row>
    <row r="30" spans="1:10" x14ac:dyDescent="0.35">
      <c r="A30" s="8">
        <v>46202</v>
      </c>
      <c r="D30" s="5">
        <v>3500</v>
      </c>
      <c r="E30" s="5">
        <v>200</v>
      </c>
      <c r="H30" s="5">
        <f t="shared" si="0"/>
        <v>3700</v>
      </c>
    </row>
    <row r="31" spans="1:10" x14ac:dyDescent="0.35">
      <c r="A31" s="8">
        <v>46203</v>
      </c>
      <c r="H31" s="5">
        <f t="shared" si="0"/>
        <v>0</v>
      </c>
    </row>
    <row r="33" spans="8:11" x14ac:dyDescent="0.35">
      <c r="H33" s="5">
        <f>SUM(H2:H19)</f>
        <v>315631</v>
      </c>
      <c r="K33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0CE4D-52DA-480A-BD9F-8F30B29613E4}">
  <dimension ref="A1:M34"/>
  <sheetViews>
    <sheetView topLeftCell="A12" workbookViewId="0">
      <selection activeCell="G22" sqref="G22"/>
    </sheetView>
  </sheetViews>
  <sheetFormatPr defaultColWidth="8.81640625" defaultRowHeight="14.5" x14ac:dyDescent="0.35"/>
  <cols>
    <col min="1" max="1" width="13.90625" style="8" customWidth="1"/>
    <col min="2" max="3" width="13" style="5" customWidth="1"/>
    <col min="4" max="5" width="17.36328125" style="5" customWidth="1"/>
    <col min="6" max="9" width="15.81640625" style="5" customWidth="1"/>
    <col min="10" max="10" width="14.81640625" style="5" customWidth="1"/>
  </cols>
  <sheetData>
    <row r="1" spans="1:10" s="3" customFormat="1" ht="15.5" x14ac:dyDescent="0.35">
      <c r="A1" s="7" t="s">
        <v>11</v>
      </c>
      <c r="B1" s="4" t="s">
        <v>20</v>
      </c>
      <c r="C1" s="4" t="s">
        <v>21</v>
      </c>
      <c r="D1" s="4" t="s">
        <v>24</v>
      </c>
      <c r="E1" s="4" t="s">
        <v>23</v>
      </c>
      <c r="F1" s="4" t="s">
        <v>10</v>
      </c>
      <c r="G1" s="4" t="s">
        <v>25</v>
      </c>
      <c r="H1" s="4" t="s">
        <v>26</v>
      </c>
      <c r="I1" s="4" t="s">
        <v>15</v>
      </c>
      <c r="J1" s="4" t="s">
        <v>4</v>
      </c>
    </row>
    <row r="2" spans="1:10" x14ac:dyDescent="0.35">
      <c r="A2" s="8">
        <v>46143</v>
      </c>
      <c r="B2" s="5">
        <v>10100</v>
      </c>
      <c r="D2" s="5">
        <v>3900</v>
      </c>
      <c r="F2" s="5">
        <v>2800</v>
      </c>
      <c r="G2" s="5">
        <v>476</v>
      </c>
      <c r="J2" s="5">
        <f>SUM(B2:I2)</f>
        <v>17276</v>
      </c>
    </row>
    <row r="3" spans="1:10" x14ac:dyDescent="0.35">
      <c r="A3" s="8">
        <v>46144</v>
      </c>
      <c r="B3" s="5">
        <v>7200</v>
      </c>
      <c r="D3" s="5">
        <v>9100</v>
      </c>
      <c r="F3" s="5">
        <v>5300</v>
      </c>
      <c r="G3" s="5">
        <v>200</v>
      </c>
      <c r="H3" s="5">
        <v>600</v>
      </c>
      <c r="J3" s="5">
        <f t="shared" ref="J3:J32" si="0">SUM(B3:I3)</f>
        <v>22400</v>
      </c>
    </row>
    <row r="4" spans="1:10" x14ac:dyDescent="0.35">
      <c r="A4" s="8">
        <v>46145</v>
      </c>
      <c r="B4" s="5">
        <v>8000</v>
      </c>
      <c r="D4" s="5">
        <v>4600</v>
      </c>
      <c r="F4" s="5">
        <v>1600</v>
      </c>
      <c r="G4" s="5">
        <v>1300</v>
      </c>
      <c r="H4" s="5">
        <v>1700</v>
      </c>
      <c r="J4" s="5">
        <f t="shared" si="0"/>
        <v>17200</v>
      </c>
    </row>
    <row r="5" spans="1:10" x14ac:dyDescent="0.35">
      <c r="A5" s="8">
        <v>46146</v>
      </c>
      <c r="B5" s="5">
        <v>8500</v>
      </c>
      <c r="D5" s="5">
        <v>6100</v>
      </c>
      <c r="F5" s="5">
        <v>2600</v>
      </c>
      <c r="G5" s="5">
        <v>1700</v>
      </c>
      <c r="H5" s="5">
        <v>700</v>
      </c>
      <c r="J5" s="5">
        <f t="shared" si="0"/>
        <v>19600</v>
      </c>
    </row>
    <row r="6" spans="1:10" x14ac:dyDescent="0.35">
      <c r="A6" s="8">
        <v>46147</v>
      </c>
      <c r="B6" s="5">
        <v>8200</v>
      </c>
      <c r="D6" s="5">
        <v>4400</v>
      </c>
      <c r="F6" s="5">
        <v>969</v>
      </c>
      <c r="G6" s="5">
        <v>700</v>
      </c>
      <c r="H6" s="5">
        <v>130</v>
      </c>
      <c r="J6" s="5">
        <f t="shared" si="0"/>
        <v>14399</v>
      </c>
    </row>
    <row r="7" spans="1:10" x14ac:dyDescent="0.35">
      <c r="A7" s="8">
        <v>46148</v>
      </c>
      <c r="B7" s="5">
        <v>10000</v>
      </c>
      <c r="D7" s="5">
        <v>3400</v>
      </c>
      <c r="F7" s="5">
        <v>3300</v>
      </c>
      <c r="G7" s="5">
        <v>1600</v>
      </c>
      <c r="H7" s="5">
        <v>2600</v>
      </c>
      <c r="J7" s="5">
        <f t="shared" si="0"/>
        <v>20900</v>
      </c>
    </row>
    <row r="8" spans="1:10" x14ac:dyDescent="0.35">
      <c r="A8" s="8">
        <v>46149</v>
      </c>
      <c r="B8" s="5">
        <v>9600</v>
      </c>
      <c r="D8" s="5">
        <v>3400</v>
      </c>
      <c r="F8" s="5">
        <v>2200</v>
      </c>
      <c r="G8" s="5">
        <v>1300</v>
      </c>
      <c r="H8" s="5">
        <v>1400</v>
      </c>
      <c r="J8" s="5">
        <f t="shared" si="0"/>
        <v>17900</v>
      </c>
    </row>
    <row r="9" spans="1:10" x14ac:dyDescent="0.35">
      <c r="A9" s="8">
        <v>46150</v>
      </c>
      <c r="B9" s="5">
        <v>5300</v>
      </c>
      <c r="D9" s="5">
        <v>3500</v>
      </c>
      <c r="F9" s="5">
        <v>1600</v>
      </c>
      <c r="G9" s="5">
        <v>1000</v>
      </c>
      <c r="J9" s="5">
        <f t="shared" si="0"/>
        <v>11400</v>
      </c>
    </row>
    <row r="10" spans="1:10" x14ac:dyDescent="0.35">
      <c r="A10" s="8">
        <v>46151</v>
      </c>
      <c r="B10" s="5">
        <v>6000</v>
      </c>
      <c r="D10" s="5">
        <v>5000</v>
      </c>
      <c r="F10" s="5">
        <v>1300</v>
      </c>
      <c r="G10" s="5">
        <v>3300</v>
      </c>
      <c r="H10" s="5">
        <v>440</v>
      </c>
      <c r="J10" s="5">
        <f t="shared" si="0"/>
        <v>16040</v>
      </c>
    </row>
    <row r="11" spans="1:10" x14ac:dyDescent="0.35">
      <c r="A11" s="8">
        <v>46152</v>
      </c>
      <c r="B11" s="5">
        <v>6459</v>
      </c>
      <c r="D11" s="5">
        <v>8100</v>
      </c>
      <c r="F11" s="5">
        <v>2500</v>
      </c>
      <c r="G11" s="5">
        <v>2500</v>
      </c>
      <c r="J11" s="5">
        <f t="shared" si="0"/>
        <v>19559</v>
      </c>
    </row>
    <row r="12" spans="1:10" x14ac:dyDescent="0.35">
      <c r="A12" s="8">
        <v>46153</v>
      </c>
      <c r="B12" s="5">
        <v>4700</v>
      </c>
      <c r="D12" s="5">
        <v>3800</v>
      </c>
      <c r="F12" s="5">
        <v>608</v>
      </c>
      <c r="G12" s="5">
        <v>2416</v>
      </c>
      <c r="H12" s="5">
        <v>8889</v>
      </c>
      <c r="J12" s="5">
        <f t="shared" si="0"/>
        <v>20413</v>
      </c>
    </row>
    <row r="13" spans="1:10" x14ac:dyDescent="0.35">
      <c r="A13" s="8">
        <v>46154</v>
      </c>
      <c r="B13" s="5">
        <v>8600</v>
      </c>
      <c r="D13" s="5">
        <v>3000</v>
      </c>
      <c r="G13" s="5">
        <v>2767</v>
      </c>
      <c r="H13" s="5">
        <v>646</v>
      </c>
      <c r="J13" s="5">
        <f t="shared" si="0"/>
        <v>15013</v>
      </c>
    </row>
    <row r="14" spans="1:10" x14ac:dyDescent="0.35">
      <c r="A14" s="8">
        <v>46155</v>
      </c>
      <c r="B14" s="5">
        <v>11050</v>
      </c>
      <c r="D14" s="5">
        <v>4650</v>
      </c>
      <c r="F14" s="5">
        <v>2500</v>
      </c>
      <c r="G14" s="5">
        <v>1483</v>
      </c>
      <c r="H14" s="5">
        <v>85</v>
      </c>
      <c r="I14" s="5">
        <v>1000</v>
      </c>
      <c r="J14" s="5">
        <f t="shared" si="0"/>
        <v>20768</v>
      </c>
    </row>
    <row r="15" spans="1:10" x14ac:dyDescent="0.35">
      <c r="A15" s="8">
        <v>46156</v>
      </c>
      <c r="B15" s="5">
        <v>9600</v>
      </c>
      <c r="D15" s="5">
        <v>5700</v>
      </c>
      <c r="F15" s="5">
        <v>3700</v>
      </c>
      <c r="G15" s="5">
        <v>254</v>
      </c>
      <c r="J15" s="5">
        <f t="shared" si="0"/>
        <v>19254</v>
      </c>
    </row>
    <row r="16" spans="1:10" x14ac:dyDescent="0.35">
      <c r="A16" s="8">
        <v>46157</v>
      </c>
      <c r="B16" s="5">
        <v>7000</v>
      </c>
      <c r="D16" s="5">
        <v>4000</v>
      </c>
      <c r="F16" s="5">
        <v>675</v>
      </c>
      <c r="G16" s="5">
        <v>1100</v>
      </c>
      <c r="H16" s="5">
        <v>750</v>
      </c>
      <c r="J16" s="5">
        <f t="shared" si="0"/>
        <v>13525</v>
      </c>
    </row>
    <row r="17" spans="1:12" x14ac:dyDescent="0.35">
      <c r="A17" s="8">
        <v>46158</v>
      </c>
      <c r="B17" s="5">
        <v>8000</v>
      </c>
      <c r="D17" s="5">
        <v>6500</v>
      </c>
      <c r="F17" s="5">
        <v>1300</v>
      </c>
      <c r="G17" s="5">
        <v>1400</v>
      </c>
      <c r="H17" s="5">
        <v>820</v>
      </c>
      <c r="J17" s="5">
        <f t="shared" si="0"/>
        <v>18020</v>
      </c>
    </row>
    <row r="18" spans="1:12" x14ac:dyDescent="0.35">
      <c r="A18" s="8">
        <v>46159</v>
      </c>
      <c r="B18" s="5">
        <v>5100</v>
      </c>
      <c r="D18" s="5">
        <v>5400</v>
      </c>
      <c r="F18" s="5">
        <v>1600</v>
      </c>
      <c r="G18" s="5">
        <v>1900</v>
      </c>
      <c r="H18" s="5">
        <v>1500</v>
      </c>
      <c r="J18" s="5">
        <f t="shared" si="0"/>
        <v>15500</v>
      </c>
    </row>
    <row r="19" spans="1:12" x14ac:dyDescent="0.35">
      <c r="A19" s="8">
        <v>46160</v>
      </c>
      <c r="B19" s="5">
        <v>8500</v>
      </c>
      <c r="D19" s="5">
        <v>3800</v>
      </c>
      <c r="F19" s="5">
        <v>2800</v>
      </c>
      <c r="G19" s="5">
        <v>882</v>
      </c>
      <c r="J19" s="5">
        <f t="shared" si="0"/>
        <v>15982</v>
      </c>
    </row>
    <row r="20" spans="1:12" x14ac:dyDescent="0.35">
      <c r="A20" s="8">
        <v>46161</v>
      </c>
      <c r="B20" s="5">
        <v>5000</v>
      </c>
      <c r="D20" s="5">
        <v>5000</v>
      </c>
      <c r="F20" s="5">
        <v>2000</v>
      </c>
      <c r="G20" s="5">
        <v>1600</v>
      </c>
      <c r="H20" s="5">
        <v>3800</v>
      </c>
      <c r="J20" s="5">
        <f t="shared" si="0"/>
        <v>17400</v>
      </c>
    </row>
    <row r="21" spans="1:12" x14ac:dyDescent="0.35">
      <c r="A21" s="8">
        <v>46162</v>
      </c>
      <c r="B21" s="5">
        <v>6200</v>
      </c>
      <c r="D21" s="5">
        <v>4200</v>
      </c>
      <c r="F21" s="5">
        <v>1900</v>
      </c>
      <c r="G21" s="5">
        <v>1200</v>
      </c>
      <c r="H21" s="5">
        <v>490</v>
      </c>
      <c r="J21" s="5">
        <f t="shared" si="0"/>
        <v>13990</v>
      </c>
    </row>
    <row r="22" spans="1:12" x14ac:dyDescent="0.35">
      <c r="A22" s="8">
        <v>46163</v>
      </c>
      <c r="B22" s="5">
        <v>4800</v>
      </c>
      <c r="D22" s="5">
        <v>5500</v>
      </c>
      <c r="F22" s="5">
        <v>3800</v>
      </c>
      <c r="G22" s="5">
        <v>0</v>
      </c>
      <c r="H22" s="5">
        <v>0</v>
      </c>
      <c r="J22" s="5">
        <f t="shared" si="0"/>
        <v>14100</v>
      </c>
    </row>
    <row r="23" spans="1:12" x14ac:dyDescent="0.35">
      <c r="A23" s="8">
        <v>46164</v>
      </c>
      <c r="B23" s="5">
        <v>5800</v>
      </c>
      <c r="D23" s="5">
        <v>4500</v>
      </c>
      <c r="F23" s="5">
        <v>2100</v>
      </c>
      <c r="G23" s="5">
        <v>200</v>
      </c>
      <c r="H23" s="5">
        <v>1250</v>
      </c>
      <c r="J23" s="5">
        <f t="shared" si="0"/>
        <v>13850</v>
      </c>
    </row>
    <row r="24" spans="1:12" x14ac:dyDescent="0.35">
      <c r="A24" s="8">
        <v>46165</v>
      </c>
      <c r="B24" s="5">
        <v>6100</v>
      </c>
      <c r="D24" s="5">
        <v>5500</v>
      </c>
      <c r="F24" s="5">
        <v>2300</v>
      </c>
      <c r="G24" s="5">
        <v>900</v>
      </c>
      <c r="H24" s="5">
        <v>1500</v>
      </c>
      <c r="J24" s="5">
        <f t="shared" si="0"/>
        <v>16300</v>
      </c>
    </row>
    <row r="25" spans="1:12" x14ac:dyDescent="0.35">
      <c r="A25" s="8">
        <v>46166</v>
      </c>
      <c r="B25" s="5">
        <v>7400</v>
      </c>
      <c r="D25" s="5">
        <v>3050</v>
      </c>
      <c r="F25" s="5">
        <v>1200</v>
      </c>
      <c r="G25" s="5">
        <v>750</v>
      </c>
      <c r="H25" s="5">
        <v>450</v>
      </c>
      <c r="J25" s="5">
        <f t="shared" si="0"/>
        <v>12850</v>
      </c>
    </row>
    <row r="26" spans="1:12" x14ac:dyDescent="0.35">
      <c r="A26" s="8">
        <v>46167</v>
      </c>
      <c r="B26" s="5">
        <v>10700</v>
      </c>
      <c r="D26" s="5">
        <v>4000</v>
      </c>
      <c r="F26" s="5">
        <v>2100</v>
      </c>
      <c r="G26" s="5">
        <v>500</v>
      </c>
      <c r="H26" s="5">
        <v>2300</v>
      </c>
      <c r="J26" s="5">
        <f t="shared" si="0"/>
        <v>19600</v>
      </c>
      <c r="K26" s="5"/>
      <c r="L26" s="5"/>
    </row>
    <row r="27" spans="1:12" x14ac:dyDescent="0.35">
      <c r="A27" s="8">
        <v>46168</v>
      </c>
      <c r="B27" s="5">
        <v>5800</v>
      </c>
      <c r="D27" s="5">
        <v>5850</v>
      </c>
      <c r="F27" s="5">
        <v>2000</v>
      </c>
      <c r="G27" s="5">
        <v>850</v>
      </c>
      <c r="H27" s="5">
        <v>0</v>
      </c>
      <c r="J27" s="5">
        <f t="shared" si="0"/>
        <v>14500</v>
      </c>
    </row>
    <row r="28" spans="1:12" x14ac:dyDescent="0.35">
      <c r="A28" s="8">
        <v>46169</v>
      </c>
      <c r="B28" s="5">
        <v>6550</v>
      </c>
      <c r="D28" s="5">
        <v>4900</v>
      </c>
      <c r="F28" s="5">
        <v>2200</v>
      </c>
      <c r="G28" s="5">
        <v>741</v>
      </c>
      <c r="H28" s="5">
        <v>440</v>
      </c>
      <c r="J28" s="5">
        <f t="shared" si="0"/>
        <v>14831</v>
      </c>
    </row>
    <row r="29" spans="1:12" x14ac:dyDescent="0.35">
      <c r="A29" s="8">
        <v>46170</v>
      </c>
      <c r="B29" s="5">
        <v>7300</v>
      </c>
      <c r="D29" s="5">
        <v>3600</v>
      </c>
      <c r="F29" s="5">
        <v>3700</v>
      </c>
      <c r="G29" s="5">
        <v>650</v>
      </c>
      <c r="H29" s="5">
        <v>1300</v>
      </c>
      <c r="J29" s="5">
        <f t="shared" si="0"/>
        <v>16550</v>
      </c>
    </row>
    <row r="30" spans="1:12" x14ac:dyDescent="0.35">
      <c r="A30" s="8">
        <v>46171</v>
      </c>
      <c r="B30" s="5">
        <v>7400</v>
      </c>
      <c r="D30" s="5">
        <v>5100</v>
      </c>
      <c r="F30" s="5">
        <v>3900</v>
      </c>
      <c r="G30" s="5">
        <v>323</v>
      </c>
      <c r="H30" s="5">
        <v>477</v>
      </c>
      <c r="J30" s="5">
        <f t="shared" si="0"/>
        <v>17200</v>
      </c>
    </row>
    <row r="31" spans="1:12" x14ac:dyDescent="0.35">
      <c r="A31" s="8">
        <v>46172</v>
      </c>
      <c r="B31" s="5">
        <v>6150</v>
      </c>
      <c r="D31" s="5">
        <v>6200</v>
      </c>
      <c r="F31" s="5">
        <v>2900</v>
      </c>
      <c r="G31" s="5">
        <v>1600</v>
      </c>
      <c r="H31" s="5">
        <v>440</v>
      </c>
      <c r="J31" s="5">
        <f t="shared" si="0"/>
        <v>17290</v>
      </c>
    </row>
    <row r="32" spans="1:12" x14ac:dyDescent="0.35">
      <c r="A32" s="8">
        <v>46173</v>
      </c>
      <c r="B32" s="5">
        <v>3550</v>
      </c>
      <c r="D32" s="5">
        <v>8450</v>
      </c>
      <c r="F32" s="5">
        <v>1800</v>
      </c>
      <c r="G32" s="5">
        <v>763</v>
      </c>
      <c r="H32" s="5">
        <v>1100</v>
      </c>
      <c r="J32" s="5">
        <f t="shared" si="0"/>
        <v>15663</v>
      </c>
    </row>
    <row r="33" spans="10:13" x14ac:dyDescent="0.35">
      <c r="J33" s="5">
        <f>SUM(J2:J32)</f>
        <v>519273</v>
      </c>
    </row>
    <row r="34" spans="10:13" x14ac:dyDescent="0.35">
      <c r="M34" s="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6ED4-4065-4626-B329-FA78D5C78D67}">
  <dimension ref="A1:M34"/>
  <sheetViews>
    <sheetView topLeftCell="A15" workbookViewId="0">
      <selection activeCell="E57" sqref="E57"/>
    </sheetView>
  </sheetViews>
  <sheetFormatPr defaultColWidth="8.81640625" defaultRowHeight="14.5" x14ac:dyDescent="0.35"/>
  <cols>
    <col min="1" max="1" width="13.90625" style="8" customWidth="1"/>
    <col min="2" max="3" width="13" style="5" customWidth="1"/>
    <col min="4" max="5" width="17.36328125" style="5" customWidth="1"/>
    <col min="6" max="9" width="15.81640625" style="5" customWidth="1"/>
    <col min="10" max="10" width="14.81640625" style="5" customWidth="1"/>
  </cols>
  <sheetData>
    <row r="1" spans="1:10" s="3" customFormat="1" ht="15.5" x14ac:dyDescent="0.35">
      <c r="A1" s="7" t="s">
        <v>11</v>
      </c>
      <c r="B1" s="4" t="s">
        <v>20</v>
      </c>
      <c r="C1" s="4" t="s">
        <v>21</v>
      </c>
      <c r="D1" s="4" t="s">
        <v>24</v>
      </c>
      <c r="E1" s="4" t="s">
        <v>23</v>
      </c>
      <c r="F1" s="4" t="s">
        <v>10</v>
      </c>
      <c r="G1" s="4" t="s">
        <v>25</v>
      </c>
      <c r="H1" s="4" t="s">
        <v>26</v>
      </c>
      <c r="I1" s="4" t="s">
        <v>15</v>
      </c>
      <c r="J1" s="4" t="s">
        <v>4</v>
      </c>
    </row>
    <row r="2" spans="1:10" x14ac:dyDescent="0.35">
      <c r="A2" s="8">
        <v>46113</v>
      </c>
      <c r="C2" s="5">
        <v>10000</v>
      </c>
      <c r="E2" s="5">
        <v>6250</v>
      </c>
      <c r="F2" s="5">
        <v>3800</v>
      </c>
      <c r="G2" s="5">
        <v>320</v>
      </c>
      <c r="J2" s="5">
        <f>SUM(B2:I2)</f>
        <v>20370</v>
      </c>
    </row>
    <row r="3" spans="1:10" x14ac:dyDescent="0.35">
      <c r="A3" s="8">
        <v>46114</v>
      </c>
      <c r="C3" s="5">
        <v>11900</v>
      </c>
      <c r="E3" s="5">
        <v>5000</v>
      </c>
      <c r="F3" s="5">
        <v>2800</v>
      </c>
      <c r="G3" s="5">
        <v>2300</v>
      </c>
      <c r="J3" s="5">
        <f t="shared" ref="J3:J31" si="0">SUM(B3:I3)</f>
        <v>22000</v>
      </c>
    </row>
    <row r="4" spans="1:10" x14ac:dyDescent="0.35">
      <c r="A4" s="8">
        <v>46115</v>
      </c>
      <c r="C4" s="5">
        <v>9900</v>
      </c>
      <c r="E4" s="5">
        <v>2800</v>
      </c>
      <c r="F4" s="5">
        <v>5000</v>
      </c>
      <c r="G4" s="5">
        <v>720</v>
      </c>
      <c r="H4" s="5">
        <v>7600</v>
      </c>
      <c r="J4" s="5">
        <f t="shared" si="0"/>
        <v>26020</v>
      </c>
    </row>
    <row r="5" spans="1:10" x14ac:dyDescent="0.35">
      <c r="A5" s="8">
        <v>46116</v>
      </c>
      <c r="C5" s="5">
        <v>8100</v>
      </c>
      <c r="E5" s="5">
        <v>5000</v>
      </c>
      <c r="F5" s="5">
        <v>2700</v>
      </c>
      <c r="G5" s="5">
        <v>274</v>
      </c>
      <c r="J5" s="5">
        <f t="shared" si="0"/>
        <v>16074</v>
      </c>
    </row>
    <row r="6" spans="1:10" x14ac:dyDescent="0.35">
      <c r="A6" s="8">
        <v>46117</v>
      </c>
      <c r="C6" s="5">
        <v>8400</v>
      </c>
      <c r="E6" s="5">
        <v>7800</v>
      </c>
      <c r="F6" s="5">
        <v>1300</v>
      </c>
      <c r="G6" s="5">
        <v>2200</v>
      </c>
      <c r="H6" s="5">
        <v>754</v>
      </c>
      <c r="J6" s="5">
        <f t="shared" si="0"/>
        <v>20454</v>
      </c>
    </row>
    <row r="7" spans="1:10" x14ac:dyDescent="0.35">
      <c r="A7" s="8">
        <v>46118</v>
      </c>
      <c r="C7" s="5">
        <v>8900</v>
      </c>
      <c r="E7" s="5">
        <v>7400</v>
      </c>
      <c r="F7" s="5">
        <v>1700</v>
      </c>
      <c r="G7" s="5">
        <v>2100</v>
      </c>
      <c r="H7" s="5">
        <v>235</v>
      </c>
      <c r="J7" s="5">
        <f t="shared" si="0"/>
        <v>20335</v>
      </c>
    </row>
    <row r="8" spans="1:10" x14ac:dyDescent="0.35">
      <c r="A8" s="8">
        <v>46119</v>
      </c>
      <c r="C8" s="5">
        <v>9225</v>
      </c>
      <c r="E8" s="5">
        <v>5900</v>
      </c>
      <c r="F8" s="5">
        <v>2300</v>
      </c>
      <c r="G8" s="5">
        <v>1400</v>
      </c>
      <c r="H8" s="5">
        <v>170</v>
      </c>
      <c r="J8" s="5">
        <f t="shared" si="0"/>
        <v>18995</v>
      </c>
    </row>
    <row r="9" spans="1:10" x14ac:dyDescent="0.35">
      <c r="A9" s="8">
        <v>46120</v>
      </c>
      <c r="C9" s="5">
        <v>8500</v>
      </c>
      <c r="E9" s="5">
        <v>5500</v>
      </c>
      <c r="F9" s="5">
        <v>2000</v>
      </c>
      <c r="G9" s="5">
        <v>908</v>
      </c>
      <c r="H9" s="5">
        <v>280</v>
      </c>
      <c r="J9" s="5">
        <f t="shared" si="0"/>
        <v>17188</v>
      </c>
    </row>
    <row r="10" spans="1:10" x14ac:dyDescent="0.35">
      <c r="A10" s="8">
        <v>46121</v>
      </c>
      <c r="C10" s="5">
        <v>11200</v>
      </c>
      <c r="E10" s="5">
        <v>6400</v>
      </c>
      <c r="F10" s="5">
        <v>1400</v>
      </c>
      <c r="G10" s="5">
        <v>1500</v>
      </c>
      <c r="H10" s="5">
        <v>3600</v>
      </c>
      <c r="J10" s="5">
        <f t="shared" si="0"/>
        <v>24100</v>
      </c>
    </row>
    <row r="11" spans="1:10" x14ac:dyDescent="0.35">
      <c r="A11" s="8">
        <v>46122</v>
      </c>
      <c r="C11" s="5">
        <v>6080</v>
      </c>
      <c r="E11" s="5">
        <v>7650</v>
      </c>
      <c r="F11" s="5">
        <v>3300</v>
      </c>
      <c r="G11" s="5">
        <v>763</v>
      </c>
      <c r="H11" s="5">
        <v>1900</v>
      </c>
      <c r="J11" s="5">
        <f t="shared" si="0"/>
        <v>19693</v>
      </c>
    </row>
    <row r="12" spans="1:10" x14ac:dyDescent="0.35">
      <c r="A12" s="8">
        <v>46123</v>
      </c>
      <c r="C12" s="5">
        <v>12850</v>
      </c>
      <c r="E12" s="5">
        <v>6400</v>
      </c>
      <c r="F12" s="5">
        <v>2000</v>
      </c>
      <c r="G12" s="5">
        <v>800</v>
      </c>
      <c r="H12" s="5">
        <v>600</v>
      </c>
      <c r="J12" s="5">
        <f t="shared" si="0"/>
        <v>22650</v>
      </c>
    </row>
    <row r="13" spans="1:10" x14ac:dyDescent="0.35">
      <c r="A13" s="8">
        <v>46124</v>
      </c>
      <c r="C13" s="5">
        <v>5000</v>
      </c>
      <c r="E13" s="5">
        <v>8000</v>
      </c>
      <c r="F13" s="5">
        <v>2400</v>
      </c>
      <c r="G13" s="5">
        <v>1100</v>
      </c>
      <c r="H13" s="5">
        <v>1500</v>
      </c>
      <c r="J13" s="5">
        <f t="shared" si="0"/>
        <v>18000</v>
      </c>
    </row>
    <row r="14" spans="1:10" x14ac:dyDescent="0.35">
      <c r="A14" s="8">
        <v>46125</v>
      </c>
      <c r="C14" s="5">
        <v>6600</v>
      </c>
      <c r="E14" s="5">
        <v>7100</v>
      </c>
      <c r="F14" s="5">
        <v>2600</v>
      </c>
      <c r="G14" s="5">
        <v>1100</v>
      </c>
      <c r="J14" s="5">
        <f t="shared" si="0"/>
        <v>17400</v>
      </c>
    </row>
    <row r="15" spans="1:10" x14ac:dyDescent="0.35">
      <c r="A15" s="8">
        <v>46126</v>
      </c>
      <c r="C15" s="5">
        <v>7100</v>
      </c>
      <c r="E15" s="5">
        <v>4500</v>
      </c>
      <c r="F15" s="5">
        <v>2400</v>
      </c>
      <c r="G15" s="5">
        <v>1300</v>
      </c>
      <c r="H15" s="5">
        <v>1400</v>
      </c>
      <c r="J15" s="5">
        <f t="shared" si="0"/>
        <v>16700</v>
      </c>
    </row>
    <row r="16" spans="1:10" x14ac:dyDescent="0.35">
      <c r="A16" s="8">
        <v>46127</v>
      </c>
      <c r="C16" s="5">
        <v>9100</v>
      </c>
      <c r="E16" s="5">
        <v>4500</v>
      </c>
      <c r="F16" s="5">
        <v>2600</v>
      </c>
      <c r="G16" s="5">
        <v>1100</v>
      </c>
      <c r="H16" s="5">
        <v>1400</v>
      </c>
      <c r="I16" s="5">
        <v>2500</v>
      </c>
      <c r="J16" s="5">
        <f t="shared" si="0"/>
        <v>21200</v>
      </c>
    </row>
    <row r="17" spans="1:12" x14ac:dyDescent="0.35">
      <c r="A17" s="8">
        <v>46128</v>
      </c>
      <c r="C17" s="5">
        <v>10000</v>
      </c>
      <c r="E17" s="5">
        <v>4900</v>
      </c>
      <c r="F17" s="5">
        <v>2600</v>
      </c>
      <c r="G17" s="5">
        <v>120</v>
      </c>
      <c r="H17" s="5">
        <v>925</v>
      </c>
      <c r="J17" s="5">
        <f t="shared" si="0"/>
        <v>18545</v>
      </c>
    </row>
    <row r="18" spans="1:12" x14ac:dyDescent="0.35">
      <c r="A18" s="8">
        <v>46129</v>
      </c>
      <c r="C18" s="5">
        <v>6900</v>
      </c>
      <c r="E18" s="5">
        <v>6900</v>
      </c>
      <c r="F18" s="5">
        <v>3000</v>
      </c>
      <c r="G18" s="5">
        <v>755</v>
      </c>
      <c r="H18" s="5">
        <v>1000</v>
      </c>
      <c r="I18" s="5">
        <v>1000</v>
      </c>
      <c r="J18" s="5">
        <f t="shared" si="0"/>
        <v>19555</v>
      </c>
    </row>
    <row r="19" spans="1:12" x14ac:dyDescent="0.35">
      <c r="A19" s="8">
        <v>46130</v>
      </c>
      <c r="C19" s="5">
        <v>5500</v>
      </c>
      <c r="E19" s="5">
        <v>4550</v>
      </c>
      <c r="F19" s="5">
        <v>3200</v>
      </c>
      <c r="G19" s="5">
        <v>500</v>
      </c>
      <c r="I19" s="5">
        <v>2242</v>
      </c>
      <c r="J19" s="5">
        <f t="shared" si="0"/>
        <v>15992</v>
      </c>
    </row>
    <row r="20" spans="1:12" x14ac:dyDescent="0.35">
      <c r="A20" s="8">
        <v>46131</v>
      </c>
      <c r="C20" s="5">
        <v>5800</v>
      </c>
      <c r="E20" s="5">
        <v>6700</v>
      </c>
      <c r="F20" s="5">
        <v>2600</v>
      </c>
      <c r="G20" s="5">
        <v>2000</v>
      </c>
      <c r="H20" s="5">
        <v>240</v>
      </c>
      <c r="J20" s="5">
        <f t="shared" si="0"/>
        <v>17340</v>
      </c>
    </row>
    <row r="21" spans="1:12" x14ac:dyDescent="0.35">
      <c r="A21" s="8">
        <v>46132</v>
      </c>
      <c r="C21" s="5">
        <v>4300</v>
      </c>
      <c r="E21" s="5">
        <v>10000</v>
      </c>
      <c r="F21" s="5">
        <v>3000</v>
      </c>
      <c r="G21" s="5">
        <v>1200</v>
      </c>
      <c r="H21" s="5">
        <v>1200</v>
      </c>
      <c r="I21" s="5">
        <v>2200</v>
      </c>
      <c r="J21" s="5">
        <f t="shared" si="0"/>
        <v>21900</v>
      </c>
    </row>
    <row r="22" spans="1:12" x14ac:dyDescent="0.35">
      <c r="A22" s="8">
        <v>46133</v>
      </c>
      <c r="C22" s="5">
        <v>9900</v>
      </c>
      <c r="E22" s="5">
        <v>5500</v>
      </c>
      <c r="F22" s="5">
        <v>209</v>
      </c>
      <c r="G22" s="5">
        <v>3300</v>
      </c>
      <c r="H22" s="5">
        <v>150</v>
      </c>
      <c r="J22" s="5">
        <f t="shared" si="0"/>
        <v>19059</v>
      </c>
    </row>
    <row r="23" spans="1:12" x14ac:dyDescent="0.35">
      <c r="A23" s="8">
        <v>46134</v>
      </c>
      <c r="C23" s="5">
        <v>8600</v>
      </c>
      <c r="E23" s="5">
        <v>4650</v>
      </c>
      <c r="F23" s="5">
        <v>780</v>
      </c>
      <c r="G23" s="5">
        <v>6600</v>
      </c>
      <c r="H23" s="5">
        <v>100</v>
      </c>
      <c r="J23" s="5">
        <f t="shared" si="0"/>
        <v>20730</v>
      </c>
    </row>
    <row r="24" spans="1:12" x14ac:dyDescent="0.35">
      <c r="A24" s="8">
        <v>46135</v>
      </c>
      <c r="C24" s="5">
        <v>11200</v>
      </c>
      <c r="E24" s="5">
        <v>7600</v>
      </c>
      <c r="F24" s="5">
        <v>935</v>
      </c>
      <c r="G24" s="5">
        <v>3400</v>
      </c>
      <c r="J24" s="5">
        <f t="shared" si="0"/>
        <v>23135</v>
      </c>
    </row>
    <row r="25" spans="1:12" x14ac:dyDescent="0.35">
      <c r="A25" s="8">
        <v>46136</v>
      </c>
      <c r="C25" s="5">
        <v>6800</v>
      </c>
      <c r="E25" s="5">
        <v>7500</v>
      </c>
      <c r="F25" s="5">
        <v>745</v>
      </c>
      <c r="G25" s="5">
        <v>3900</v>
      </c>
      <c r="H25" s="5">
        <v>555</v>
      </c>
      <c r="J25" s="5">
        <f t="shared" si="0"/>
        <v>19500</v>
      </c>
    </row>
    <row r="26" spans="1:12" x14ac:dyDescent="0.35">
      <c r="A26" s="8">
        <v>46137</v>
      </c>
      <c r="C26" s="5">
        <v>6700</v>
      </c>
      <c r="E26" s="5">
        <v>5700</v>
      </c>
      <c r="F26" s="5">
        <v>130</v>
      </c>
      <c r="G26" s="5">
        <v>3900</v>
      </c>
      <c r="H26" s="5">
        <v>750</v>
      </c>
      <c r="J26" s="5">
        <f t="shared" si="0"/>
        <v>17180</v>
      </c>
      <c r="K26" s="5"/>
      <c r="L26" s="5"/>
    </row>
    <row r="27" spans="1:12" x14ac:dyDescent="0.35">
      <c r="A27" s="8">
        <v>46138</v>
      </c>
      <c r="E27" s="5">
        <v>7200</v>
      </c>
      <c r="F27" s="5">
        <v>343</v>
      </c>
      <c r="G27" s="5">
        <v>1700</v>
      </c>
      <c r="H27" s="5">
        <v>450</v>
      </c>
      <c r="J27" s="5">
        <f t="shared" si="0"/>
        <v>9693</v>
      </c>
    </row>
    <row r="28" spans="1:12" x14ac:dyDescent="0.35">
      <c r="A28" s="8">
        <v>46139</v>
      </c>
      <c r="C28" s="5">
        <v>5200</v>
      </c>
      <c r="E28" s="5">
        <v>6700</v>
      </c>
      <c r="F28" s="5">
        <v>544</v>
      </c>
      <c r="G28" s="5">
        <v>4800</v>
      </c>
      <c r="H28" s="5">
        <v>830</v>
      </c>
      <c r="J28" s="5">
        <f t="shared" si="0"/>
        <v>18074</v>
      </c>
    </row>
    <row r="29" spans="1:12" x14ac:dyDescent="0.35">
      <c r="A29" s="8">
        <v>46140</v>
      </c>
      <c r="C29" s="5">
        <v>8700</v>
      </c>
      <c r="E29" s="5">
        <v>6900</v>
      </c>
      <c r="F29" s="5">
        <v>2700</v>
      </c>
      <c r="G29" s="5">
        <v>1500</v>
      </c>
      <c r="H29" s="5">
        <v>200</v>
      </c>
      <c r="J29" s="5">
        <f t="shared" si="0"/>
        <v>20000</v>
      </c>
    </row>
    <row r="30" spans="1:12" x14ac:dyDescent="0.35">
      <c r="A30" s="8">
        <v>46141</v>
      </c>
      <c r="C30" s="5">
        <v>5900</v>
      </c>
      <c r="E30" s="5">
        <v>8521</v>
      </c>
      <c r="F30" s="5">
        <v>4400</v>
      </c>
      <c r="G30" s="5">
        <v>500</v>
      </c>
      <c r="J30" s="5">
        <f t="shared" si="0"/>
        <v>19321</v>
      </c>
    </row>
    <row r="31" spans="1:12" x14ac:dyDescent="0.35">
      <c r="A31" s="8">
        <v>46142</v>
      </c>
      <c r="C31" s="5">
        <v>3900</v>
      </c>
      <c r="E31" s="5">
        <v>7500</v>
      </c>
      <c r="F31" s="5">
        <v>976</v>
      </c>
      <c r="G31" s="5">
        <v>226</v>
      </c>
      <c r="J31" s="5">
        <f t="shared" si="0"/>
        <v>12602</v>
      </c>
    </row>
    <row r="32" spans="1:12" x14ac:dyDescent="0.35">
      <c r="J32" s="5">
        <f>SUM(J2:J31)</f>
        <v>573805</v>
      </c>
    </row>
    <row r="34" spans="13:13" x14ac:dyDescent="0.35">
      <c r="M34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8AB05-C68B-4A6B-93AA-0988A6FCEFD0}">
  <dimension ref="A1:K35"/>
  <sheetViews>
    <sheetView topLeftCell="A24" workbookViewId="0">
      <selection activeCell="D38" sqref="D38"/>
    </sheetView>
  </sheetViews>
  <sheetFormatPr defaultColWidth="8.81640625" defaultRowHeight="14.5" x14ac:dyDescent="0.35"/>
  <cols>
    <col min="1" max="1" width="13.90625" style="8" customWidth="1"/>
    <col min="2" max="3" width="13" style="5" customWidth="1"/>
    <col min="4" max="5" width="17.36328125" style="5" customWidth="1"/>
    <col min="6" max="7" width="15.81640625" style="5" customWidth="1"/>
    <col min="8" max="8" width="14.81640625" style="5" customWidth="1"/>
  </cols>
  <sheetData>
    <row r="1" spans="1:8" s="3" customFormat="1" ht="15.5" x14ac:dyDescent="0.35">
      <c r="A1" s="7" t="s">
        <v>11</v>
      </c>
      <c r="B1" s="4" t="s">
        <v>20</v>
      </c>
      <c r="C1" s="4" t="s">
        <v>21</v>
      </c>
      <c r="D1" s="4" t="s">
        <v>24</v>
      </c>
      <c r="E1" s="4" t="s">
        <v>23</v>
      </c>
      <c r="F1" s="4" t="s">
        <v>10</v>
      </c>
      <c r="G1" s="4" t="s">
        <v>15</v>
      </c>
      <c r="H1" s="4" t="s">
        <v>4</v>
      </c>
    </row>
    <row r="2" spans="1:8" x14ac:dyDescent="0.35">
      <c r="A2" s="8">
        <v>46082</v>
      </c>
      <c r="B2" s="5">
        <v>9500</v>
      </c>
      <c r="D2" s="5">
        <v>5700</v>
      </c>
      <c r="F2" s="5">
        <v>5400</v>
      </c>
      <c r="H2" s="5">
        <f>SUM(B2:G2)</f>
        <v>20600</v>
      </c>
    </row>
    <row r="3" spans="1:8" x14ac:dyDescent="0.35">
      <c r="A3" s="8">
        <v>46083</v>
      </c>
      <c r="B3" s="5">
        <v>5000</v>
      </c>
      <c r="D3" s="5">
        <v>8648</v>
      </c>
      <c r="F3" s="5">
        <v>4500</v>
      </c>
      <c r="H3" s="5">
        <f t="shared" ref="H3:H32" si="0">SUM(B3:G3)</f>
        <v>18148</v>
      </c>
    </row>
    <row r="4" spans="1:8" x14ac:dyDescent="0.35">
      <c r="A4" s="8">
        <v>46084</v>
      </c>
      <c r="B4" s="5">
        <v>11076</v>
      </c>
      <c r="D4" s="5">
        <v>6100</v>
      </c>
      <c r="F4" s="5">
        <v>4100</v>
      </c>
      <c r="H4" s="5">
        <f t="shared" si="0"/>
        <v>21276</v>
      </c>
    </row>
    <row r="5" spans="1:8" x14ac:dyDescent="0.35">
      <c r="A5" s="8">
        <v>46085</v>
      </c>
      <c r="B5" s="5">
        <v>5200</v>
      </c>
      <c r="D5" s="5">
        <v>11900</v>
      </c>
      <c r="F5" s="5">
        <v>2800</v>
      </c>
      <c r="H5" s="5">
        <f t="shared" si="0"/>
        <v>19900</v>
      </c>
    </row>
    <row r="6" spans="1:8" x14ac:dyDescent="0.35">
      <c r="A6" s="8">
        <v>46086</v>
      </c>
      <c r="B6" s="5">
        <v>14600</v>
      </c>
      <c r="D6" s="5">
        <v>7700</v>
      </c>
      <c r="F6" s="5">
        <v>6200</v>
      </c>
      <c r="H6" s="5">
        <f t="shared" si="0"/>
        <v>28500</v>
      </c>
    </row>
    <row r="7" spans="1:8" x14ac:dyDescent="0.35">
      <c r="A7" s="8">
        <v>46087</v>
      </c>
      <c r="B7" s="5">
        <v>13500</v>
      </c>
      <c r="D7" s="5">
        <v>4000</v>
      </c>
      <c r="F7" s="5">
        <v>9900</v>
      </c>
      <c r="H7" s="5">
        <f t="shared" si="0"/>
        <v>27400</v>
      </c>
    </row>
    <row r="8" spans="1:8" x14ac:dyDescent="0.35">
      <c r="A8" s="8">
        <v>46088</v>
      </c>
      <c r="B8" s="5">
        <v>8600</v>
      </c>
      <c r="D8" s="5">
        <v>4900</v>
      </c>
      <c r="F8" s="5">
        <v>5100</v>
      </c>
      <c r="H8" s="5">
        <f t="shared" si="0"/>
        <v>18600</v>
      </c>
    </row>
    <row r="9" spans="1:8" x14ac:dyDescent="0.35">
      <c r="A9" s="8">
        <v>46089</v>
      </c>
      <c r="B9" s="5">
        <v>11200</v>
      </c>
      <c r="D9" s="5">
        <v>4200</v>
      </c>
      <c r="F9" s="5">
        <v>3800</v>
      </c>
      <c r="H9" s="5">
        <f t="shared" si="0"/>
        <v>19200</v>
      </c>
    </row>
    <row r="10" spans="1:8" x14ac:dyDescent="0.35">
      <c r="A10" s="8">
        <v>46090</v>
      </c>
      <c r="B10" s="5">
        <v>3600</v>
      </c>
      <c r="D10" s="5">
        <v>12300</v>
      </c>
      <c r="F10" s="5">
        <v>5900</v>
      </c>
      <c r="H10" s="5">
        <f t="shared" si="0"/>
        <v>21800</v>
      </c>
    </row>
    <row r="11" spans="1:8" x14ac:dyDescent="0.35">
      <c r="A11" s="8">
        <v>46091</v>
      </c>
      <c r="B11" s="5">
        <v>8950</v>
      </c>
      <c r="D11" s="5">
        <v>4600</v>
      </c>
      <c r="F11" s="5">
        <v>6200</v>
      </c>
      <c r="H11" s="5">
        <f t="shared" si="0"/>
        <v>19750</v>
      </c>
    </row>
    <row r="12" spans="1:8" x14ac:dyDescent="0.35">
      <c r="A12" s="8">
        <v>46092</v>
      </c>
      <c r="B12" s="5">
        <v>9700</v>
      </c>
      <c r="D12" s="5">
        <v>5300</v>
      </c>
      <c r="F12" s="5">
        <v>4000</v>
      </c>
      <c r="H12" s="5">
        <f t="shared" si="0"/>
        <v>19000</v>
      </c>
    </row>
    <row r="13" spans="1:8" x14ac:dyDescent="0.35">
      <c r="A13" s="8">
        <v>46093</v>
      </c>
      <c r="B13" s="5">
        <v>8600</v>
      </c>
      <c r="D13" s="5">
        <v>5400</v>
      </c>
      <c r="F13" s="5">
        <v>3600</v>
      </c>
      <c r="H13" s="5">
        <f t="shared" si="0"/>
        <v>17600</v>
      </c>
    </row>
    <row r="14" spans="1:8" x14ac:dyDescent="0.35">
      <c r="A14" s="8">
        <v>46094</v>
      </c>
      <c r="B14" s="5">
        <v>7700</v>
      </c>
      <c r="D14" s="5">
        <v>7400</v>
      </c>
      <c r="F14" s="5">
        <v>2900</v>
      </c>
      <c r="H14" s="5">
        <f t="shared" si="0"/>
        <v>18000</v>
      </c>
    </row>
    <row r="15" spans="1:8" x14ac:dyDescent="0.35">
      <c r="A15" s="8">
        <v>46095</v>
      </c>
      <c r="B15" s="5">
        <v>5800</v>
      </c>
      <c r="D15" s="5">
        <v>3400</v>
      </c>
      <c r="F15" s="5">
        <v>1600</v>
      </c>
      <c r="H15" s="5">
        <f t="shared" si="0"/>
        <v>10800</v>
      </c>
    </row>
    <row r="16" spans="1:8" x14ac:dyDescent="0.35">
      <c r="A16" s="8">
        <v>46096</v>
      </c>
      <c r="B16" s="5">
        <v>12500</v>
      </c>
      <c r="D16" s="5">
        <v>2800</v>
      </c>
      <c r="F16" s="5">
        <v>5700</v>
      </c>
      <c r="H16" s="5">
        <f t="shared" si="0"/>
        <v>21000</v>
      </c>
    </row>
    <row r="17" spans="1:10" x14ac:dyDescent="0.35">
      <c r="A17" s="8">
        <v>46097</v>
      </c>
      <c r="B17" s="5">
        <v>12200</v>
      </c>
      <c r="D17" s="5">
        <v>5100</v>
      </c>
      <c r="F17" s="5">
        <v>5300</v>
      </c>
      <c r="H17" s="5">
        <f t="shared" si="0"/>
        <v>22600</v>
      </c>
    </row>
    <row r="18" spans="1:10" x14ac:dyDescent="0.35">
      <c r="A18" s="8">
        <v>46098</v>
      </c>
      <c r="B18" s="5">
        <v>7200</v>
      </c>
      <c r="D18" s="5">
        <v>6500</v>
      </c>
      <c r="F18" s="5">
        <v>5500</v>
      </c>
      <c r="H18" s="5">
        <f t="shared" si="0"/>
        <v>19200</v>
      </c>
    </row>
    <row r="19" spans="1:10" x14ac:dyDescent="0.35">
      <c r="A19" s="8">
        <v>46099</v>
      </c>
      <c r="B19" s="5">
        <v>8700</v>
      </c>
      <c r="D19" s="5">
        <v>4000</v>
      </c>
      <c r="F19" s="5">
        <v>6800</v>
      </c>
      <c r="H19" s="5">
        <f t="shared" si="0"/>
        <v>19500</v>
      </c>
    </row>
    <row r="20" spans="1:10" x14ac:dyDescent="0.35">
      <c r="A20" s="8">
        <v>46100</v>
      </c>
      <c r="B20" s="5">
        <v>5700</v>
      </c>
      <c r="D20" s="5">
        <v>4200</v>
      </c>
      <c r="F20" s="5">
        <v>3200</v>
      </c>
      <c r="H20" s="5">
        <f t="shared" si="0"/>
        <v>13100</v>
      </c>
    </row>
    <row r="21" spans="1:10" x14ac:dyDescent="0.35">
      <c r="A21" s="8">
        <v>46101</v>
      </c>
      <c r="B21" s="5">
        <v>9400</v>
      </c>
      <c r="D21" s="5">
        <v>5000</v>
      </c>
      <c r="F21" s="5">
        <v>3600</v>
      </c>
      <c r="H21" s="5">
        <f t="shared" si="0"/>
        <v>18000</v>
      </c>
    </row>
    <row r="22" spans="1:10" x14ac:dyDescent="0.35">
      <c r="A22" s="8">
        <v>46102</v>
      </c>
      <c r="B22" s="5">
        <v>7800</v>
      </c>
      <c r="D22" s="5">
        <v>6300</v>
      </c>
      <c r="F22" s="5">
        <v>3500</v>
      </c>
      <c r="H22" s="5">
        <f t="shared" si="0"/>
        <v>17600</v>
      </c>
    </row>
    <row r="23" spans="1:10" x14ac:dyDescent="0.35">
      <c r="A23" s="8">
        <v>46103</v>
      </c>
      <c r="B23" s="5">
        <v>7600</v>
      </c>
      <c r="D23" s="5">
        <v>5500</v>
      </c>
      <c r="F23" s="5">
        <v>2500</v>
      </c>
      <c r="H23" s="5">
        <f t="shared" si="0"/>
        <v>15600</v>
      </c>
    </row>
    <row r="24" spans="1:10" x14ac:dyDescent="0.35">
      <c r="A24" s="8">
        <v>46104</v>
      </c>
      <c r="B24" s="5">
        <v>8500</v>
      </c>
      <c r="D24" s="5">
        <v>7100</v>
      </c>
      <c r="F24" s="5">
        <v>9000</v>
      </c>
      <c r="H24" s="5">
        <f t="shared" si="0"/>
        <v>24600</v>
      </c>
    </row>
    <row r="25" spans="1:10" x14ac:dyDescent="0.35">
      <c r="A25" s="8">
        <v>46105</v>
      </c>
      <c r="B25" s="5">
        <v>12000</v>
      </c>
      <c r="D25" s="5">
        <v>5400</v>
      </c>
      <c r="F25" s="5">
        <v>4580</v>
      </c>
      <c r="H25" s="5">
        <f t="shared" si="0"/>
        <v>21980</v>
      </c>
    </row>
    <row r="26" spans="1:10" x14ac:dyDescent="0.35">
      <c r="A26" s="8">
        <v>46106</v>
      </c>
      <c r="B26" s="5">
        <v>9281</v>
      </c>
      <c r="D26" s="5">
        <v>3850</v>
      </c>
      <c r="F26" s="5">
        <v>5500</v>
      </c>
      <c r="H26" s="5">
        <f t="shared" si="0"/>
        <v>18631</v>
      </c>
      <c r="I26" s="5"/>
      <c r="J26" s="5"/>
    </row>
    <row r="27" spans="1:10" x14ac:dyDescent="0.35">
      <c r="A27" s="8">
        <v>46107</v>
      </c>
      <c r="B27" s="5">
        <v>5900</v>
      </c>
      <c r="D27" s="5">
        <v>3400</v>
      </c>
      <c r="F27" s="5">
        <v>4200</v>
      </c>
      <c r="H27" s="5">
        <f t="shared" si="0"/>
        <v>13500</v>
      </c>
    </row>
    <row r="28" spans="1:10" x14ac:dyDescent="0.35">
      <c r="A28" s="8">
        <v>46108</v>
      </c>
      <c r="B28" s="5">
        <v>10700</v>
      </c>
      <c r="D28" s="5">
        <v>6400</v>
      </c>
      <c r="F28" s="5">
        <v>6000</v>
      </c>
      <c r="H28" s="5">
        <f t="shared" si="0"/>
        <v>23100</v>
      </c>
    </row>
    <row r="29" spans="1:10" x14ac:dyDescent="0.35">
      <c r="A29" s="8">
        <v>46109</v>
      </c>
      <c r="B29" s="5">
        <v>7800</v>
      </c>
      <c r="D29" s="5">
        <v>3500</v>
      </c>
      <c r="F29" s="5">
        <v>6200</v>
      </c>
      <c r="H29" s="5">
        <f t="shared" si="0"/>
        <v>17500</v>
      </c>
    </row>
    <row r="30" spans="1:10" x14ac:dyDescent="0.35">
      <c r="A30" s="8">
        <v>46110</v>
      </c>
      <c r="B30" s="5">
        <v>9800</v>
      </c>
      <c r="D30" s="5">
        <v>9300</v>
      </c>
      <c r="F30" s="5">
        <v>4000</v>
      </c>
      <c r="H30" s="5">
        <f t="shared" si="0"/>
        <v>23100</v>
      </c>
    </row>
    <row r="31" spans="1:10" x14ac:dyDescent="0.35">
      <c r="A31" s="8">
        <v>46111</v>
      </c>
      <c r="B31" s="5">
        <v>7122</v>
      </c>
      <c r="D31" s="5">
        <v>4700</v>
      </c>
      <c r="F31" s="5">
        <v>1800</v>
      </c>
      <c r="H31" s="5">
        <f t="shared" si="0"/>
        <v>13622</v>
      </c>
    </row>
    <row r="32" spans="1:10" x14ac:dyDescent="0.35">
      <c r="A32" s="8">
        <v>46112</v>
      </c>
      <c r="B32" s="5">
        <v>6500</v>
      </c>
      <c r="D32" s="5">
        <v>3600</v>
      </c>
      <c r="F32" s="5">
        <v>6600</v>
      </c>
      <c r="H32" s="5">
        <f t="shared" si="0"/>
        <v>16700</v>
      </c>
    </row>
    <row r="33" spans="8:11" x14ac:dyDescent="0.35">
      <c r="H33" s="5">
        <f>SUM(H2:H32)</f>
        <v>599907</v>
      </c>
    </row>
    <row r="35" spans="8:11" x14ac:dyDescent="0.35">
      <c r="K35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E60C9-7190-4A23-8149-6DE2F233D92A}">
  <dimension ref="A1:K35"/>
  <sheetViews>
    <sheetView workbookViewId="0">
      <selection activeCell="E26" sqref="E26"/>
    </sheetView>
  </sheetViews>
  <sheetFormatPr defaultColWidth="8.81640625" defaultRowHeight="14.5" x14ac:dyDescent="0.35"/>
  <cols>
    <col min="1" max="1" width="13.90625" style="8" customWidth="1"/>
    <col min="2" max="3" width="13" style="5" customWidth="1"/>
    <col min="4" max="5" width="17.36328125" style="5" customWidth="1"/>
    <col min="6" max="7" width="15.81640625" style="5" customWidth="1"/>
    <col min="8" max="8" width="14.81640625" style="5" customWidth="1"/>
  </cols>
  <sheetData>
    <row r="1" spans="1:8" s="3" customFormat="1" ht="15.5" x14ac:dyDescent="0.35">
      <c r="A1" s="7" t="s">
        <v>11</v>
      </c>
      <c r="B1" s="4" t="s">
        <v>20</v>
      </c>
      <c r="C1" s="4" t="s">
        <v>21</v>
      </c>
      <c r="D1" s="4" t="s">
        <v>24</v>
      </c>
      <c r="E1" s="4" t="s">
        <v>23</v>
      </c>
      <c r="F1" s="4" t="s">
        <v>10</v>
      </c>
      <c r="G1" s="4" t="s">
        <v>15</v>
      </c>
      <c r="H1" s="4" t="s">
        <v>4</v>
      </c>
    </row>
    <row r="2" spans="1:8" x14ac:dyDescent="0.35">
      <c r="A2" s="8">
        <v>46054</v>
      </c>
      <c r="C2" s="5">
        <v>4900</v>
      </c>
      <c r="E2" s="5">
        <v>10500</v>
      </c>
      <c r="F2" s="5">
        <v>6000</v>
      </c>
      <c r="H2" s="5">
        <f>SUM(B2:G2)</f>
        <v>21400</v>
      </c>
    </row>
    <row r="3" spans="1:8" x14ac:dyDescent="0.35">
      <c r="A3" s="8">
        <v>46055</v>
      </c>
      <c r="C3" s="5">
        <v>7350</v>
      </c>
      <c r="E3" s="5">
        <f>830+170+8000</f>
        <v>9000</v>
      </c>
      <c r="F3" s="5">
        <v>6000</v>
      </c>
      <c r="H3" s="5">
        <f t="shared" ref="H3:H29" si="0">SUM(B3:G3)</f>
        <v>22350</v>
      </c>
    </row>
    <row r="4" spans="1:8" x14ac:dyDescent="0.35">
      <c r="A4" s="8">
        <v>46056</v>
      </c>
      <c r="C4" s="5">
        <v>10500</v>
      </c>
      <c r="E4" s="5">
        <v>6000</v>
      </c>
      <c r="F4" s="5">
        <v>4100</v>
      </c>
      <c r="H4" s="5">
        <f t="shared" si="0"/>
        <v>20600</v>
      </c>
    </row>
    <row r="5" spans="1:8" x14ac:dyDescent="0.35">
      <c r="A5" s="8">
        <v>46057</v>
      </c>
      <c r="C5" s="5">
        <v>2900</v>
      </c>
      <c r="E5" s="5">
        <f>1188+10500</f>
        <v>11688</v>
      </c>
      <c r="F5" s="5">
        <v>3700</v>
      </c>
      <c r="H5" s="5">
        <f t="shared" si="0"/>
        <v>18288</v>
      </c>
    </row>
    <row r="6" spans="1:8" x14ac:dyDescent="0.35">
      <c r="A6" s="8">
        <v>46058</v>
      </c>
      <c r="C6" s="5">
        <v>7600</v>
      </c>
      <c r="E6" s="5">
        <f>1414+210+400+4300</f>
        <v>6324</v>
      </c>
      <c r="F6" s="5">
        <v>6100</v>
      </c>
      <c r="H6" s="5">
        <f t="shared" si="0"/>
        <v>20024</v>
      </c>
    </row>
    <row r="7" spans="1:8" x14ac:dyDescent="0.35">
      <c r="A7" s="8">
        <v>46059</v>
      </c>
      <c r="C7" s="5">
        <v>3500</v>
      </c>
      <c r="E7" s="5">
        <v>9000</v>
      </c>
      <c r="F7" s="5">
        <v>7800</v>
      </c>
      <c r="H7" s="5">
        <f t="shared" si="0"/>
        <v>20300</v>
      </c>
    </row>
    <row r="8" spans="1:8" x14ac:dyDescent="0.35">
      <c r="A8" s="8">
        <v>46060</v>
      </c>
      <c r="C8" s="5">
        <v>9700</v>
      </c>
      <c r="E8" s="5">
        <v>5250</v>
      </c>
      <c r="F8" s="5">
        <v>6000</v>
      </c>
      <c r="H8" s="5">
        <f t="shared" si="0"/>
        <v>20950</v>
      </c>
    </row>
    <row r="9" spans="1:8" x14ac:dyDescent="0.35">
      <c r="A9" s="8">
        <v>46061</v>
      </c>
      <c r="C9" s="5">
        <v>8800</v>
      </c>
      <c r="E9" s="5">
        <v>5900</v>
      </c>
      <c r="F9" s="5">
        <v>5000</v>
      </c>
      <c r="H9" s="5">
        <f t="shared" si="0"/>
        <v>19700</v>
      </c>
    </row>
    <row r="10" spans="1:8" x14ac:dyDescent="0.35">
      <c r="A10" s="8">
        <v>46062</v>
      </c>
      <c r="C10" s="5">
        <v>12600</v>
      </c>
      <c r="E10" s="5">
        <v>7624</v>
      </c>
      <c r="F10" s="5">
        <v>7600</v>
      </c>
      <c r="H10" s="5">
        <f t="shared" si="0"/>
        <v>27824</v>
      </c>
    </row>
    <row r="11" spans="1:8" x14ac:dyDescent="0.35">
      <c r="A11" s="8">
        <v>46063</v>
      </c>
      <c r="C11" s="5">
        <v>11400</v>
      </c>
      <c r="E11" s="5">
        <v>6610</v>
      </c>
      <c r="F11" s="5">
        <v>5400</v>
      </c>
      <c r="H11" s="5">
        <f t="shared" si="0"/>
        <v>23410</v>
      </c>
    </row>
    <row r="12" spans="1:8" x14ac:dyDescent="0.35">
      <c r="A12" s="8">
        <v>46064</v>
      </c>
      <c r="C12" s="5">
        <v>12200</v>
      </c>
      <c r="E12" s="5">
        <f>5700+210</f>
        <v>5910</v>
      </c>
      <c r="F12" s="5">
        <v>6500</v>
      </c>
      <c r="H12" s="5">
        <f t="shared" si="0"/>
        <v>24610</v>
      </c>
    </row>
    <row r="13" spans="1:8" x14ac:dyDescent="0.35">
      <c r="A13" s="8">
        <v>46065</v>
      </c>
      <c r="C13" s="5">
        <v>14100</v>
      </c>
      <c r="E13" s="5">
        <v>4300</v>
      </c>
      <c r="F13" s="5">
        <v>6200</v>
      </c>
      <c r="H13" s="5">
        <f t="shared" si="0"/>
        <v>24600</v>
      </c>
    </row>
    <row r="14" spans="1:8" x14ac:dyDescent="0.35">
      <c r="A14" s="8">
        <v>46066</v>
      </c>
      <c r="C14" s="5">
        <v>15800</v>
      </c>
      <c r="E14" s="5">
        <v>7700</v>
      </c>
      <c r="F14" s="5">
        <v>6800</v>
      </c>
      <c r="H14" s="5">
        <f t="shared" si="0"/>
        <v>30300</v>
      </c>
    </row>
    <row r="15" spans="1:8" x14ac:dyDescent="0.35">
      <c r="A15" s="8">
        <v>46067</v>
      </c>
      <c r="C15" s="5">
        <v>13000</v>
      </c>
      <c r="E15" s="5">
        <v>6650</v>
      </c>
      <c r="F15" s="5">
        <v>4300</v>
      </c>
      <c r="H15" s="5">
        <f t="shared" si="0"/>
        <v>23950</v>
      </c>
    </row>
    <row r="16" spans="1:8" x14ac:dyDescent="0.35">
      <c r="A16" s="8">
        <v>46068</v>
      </c>
      <c r="C16" s="5">
        <v>6900</v>
      </c>
      <c r="E16" s="5">
        <v>8800</v>
      </c>
      <c r="F16" s="5">
        <v>4200</v>
      </c>
      <c r="H16" s="5">
        <f t="shared" si="0"/>
        <v>19900</v>
      </c>
    </row>
    <row r="17" spans="1:10" x14ac:dyDescent="0.35">
      <c r="A17" s="8">
        <v>46069</v>
      </c>
      <c r="C17" s="5">
        <v>23000</v>
      </c>
      <c r="E17" s="5">
        <v>13500</v>
      </c>
      <c r="F17" s="5">
        <v>9800</v>
      </c>
      <c r="H17" s="5">
        <f t="shared" si="0"/>
        <v>46300</v>
      </c>
    </row>
    <row r="18" spans="1:10" x14ac:dyDescent="0.35">
      <c r="A18" s="8">
        <v>46070</v>
      </c>
      <c r="H18" s="5">
        <f t="shared" si="0"/>
        <v>0</v>
      </c>
    </row>
    <row r="19" spans="1:10" x14ac:dyDescent="0.35">
      <c r="A19" s="8">
        <v>46071</v>
      </c>
      <c r="H19" s="5">
        <f t="shared" si="0"/>
        <v>0</v>
      </c>
    </row>
    <row r="20" spans="1:10" x14ac:dyDescent="0.35">
      <c r="A20" s="8">
        <v>46072</v>
      </c>
      <c r="H20" s="5">
        <f t="shared" si="0"/>
        <v>0</v>
      </c>
    </row>
    <row r="21" spans="1:10" x14ac:dyDescent="0.35">
      <c r="A21" s="8">
        <v>46073</v>
      </c>
      <c r="C21" s="5">
        <v>8300</v>
      </c>
      <c r="E21" s="5">
        <v>5700</v>
      </c>
      <c r="F21" s="5">
        <v>4500</v>
      </c>
      <c r="H21" s="5">
        <f t="shared" si="0"/>
        <v>18500</v>
      </c>
    </row>
    <row r="22" spans="1:10" x14ac:dyDescent="0.35">
      <c r="A22" s="8">
        <v>46074</v>
      </c>
      <c r="C22" s="5">
        <v>10400</v>
      </c>
      <c r="E22" s="5">
        <v>4300</v>
      </c>
      <c r="F22" s="5">
        <v>2700</v>
      </c>
      <c r="H22" s="5">
        <f t="shared" si="0"/>
        <v>17400</v>
      </c>
    </row>
    <row r="23" spans="1:10" x14ac:dyDescent="0.35">
      <c r="A23" s="8">
        <v>46075</v>
      </c>
      <c r="C23" s="5">
        <v>13000</v>
      </c>
      <c r="E23" s="5">
        <v>4700</v>
      </c>
      <c r="F23" s="5">
        <v>2800</v>
      </c>
      <c r="H23" s="5">
        <f t="shared" si="0"/>
        <v>20500</v>
      </c>
    </row>
    <row r="24" spans="1:10" x14ac:dyDescent="0.35">
      <c r="A24" s="8">
        <v>46076</v>
      </c>
      <c r="C24" s="5">
        <v>7450</v>
      </c>
      <c r="E24" s="5">
        <v>5500</v>
      </c>
      <c r="F24" s="5">
        <v>5900</v>
      </c>
      <c r="H24" s="5">
        <f t="shared" si="0"/>
        <v>18850</v>
      </c>
    </row>
    <row r="25" spans="1:10" x14ac:dyDescent="0.35">
      <c r="A25" s="8">
        <v>46077</v>
      </c>
      <c r="C25" s="5">
        <v>10600</v>
      </c>
      <c r="E25" s="5">
        <v>6000</v>
      </c>
      <c r="F25" s="5">
        <v>5300</v>
      </c>
      <c r="H25" s="5">
        <f t="shared" si="0"/>
        <v>21900</v>
      </c>
    </row>
    <row r="26" spans="1:10" x14ac:dyDescent="0.35">
      <c r="A26" s="8">
        <v>46078</v>
      </c>
      <c r="C26" s="5">
        <v>12730</v>
      </c>
      <c r="E26" s="5">
        <v>7000</v>
      </c>
      <c r="F26" s="5">
        <v>4100</v>
      </c>
      <c r="H26" s="5">
        <f t="shared" si="0"/>
        <v>23830</v>
      </c>
      <c r="I26" s="5"/>
      <c r="J26" s="5"/>
    </row>
    <row r="27" spans="1:10" x14ac:dyDescent="0.35">
      <c r="A27" s="8">
        <v>46079</v>
      </c>
      <c r="C27" s="5">
        <v>7550</v>
      </c>
      <c r="E27" s="5">
        <v>5500</v>
      </c>
      <c r="F27" s="5">
        <v>4200</v>
      </c>
      <c r="H27" s="5">
        <f t="shared" si="0"/>
        <v>17250</v>
      </c>
    </row>
    <row r="28" spans="1:10" x14ac:dyDescent="0.35">
      <c r="A28" s="8">
        <v>46080</v>
      </c>
      <c r="C28" s="5">
        <v>10468</v>
      </c>
      <c r="E28" s="5">
        <v>5750</v>
      </c>
      <c r="F28" s="5">
        <v>2700</v>
      </c>
      <c r="H28" s="5">
        <f t="shared" si="0"/>
        <v>18918</v>
      </c>
    </row>
    <row r="29" spans="1:10" x14ac:dyDescent="0.35">
      <c r="A29" s="8">
        <v>46081</v>
      </c>
      <c r="C29" s="5">
        <v>10500</v>
      </c>
      <c r="E29" s="5">
        <v>2300</v>
      </c>
      <c r="F29" s="5">
        <v>3900</v>
      </c>
      <c r="H29" s="5">
        <f t="shared" si="0"/>
        <v>16700</v>
      </c>
    </row>
    <row r="30" spans="1:10" x14ac:dyDescent="0.35">
      <c r="H30" s="5">
        <f>SUM(H2:H29)</f>
        <v>558354</v>
      </c>
    </row>
    <row r="35" spans="11:11" x14ac:dyDescent="0.35">
      <c r="K35" s="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CA81-9F1B-4B0B-AFE2-BB40F0C8C303}">
  <dimension ref="A1:K37"/>
  <sheetViews>
    <sheetView topLeftCell="C1" workbookViewId="0">
      <selection activeCell="N17" sqref="N17"/>
    </sheetView>
  </sheetViews>
  <sheetFormatPr defaultColWidth="8.81640625" defaultRowHeight="14.5" x14ac:dyDescent="0.35"/>
  <cols>
    <col min="1" max="1" width="13.90625" style="8" customWidth="1"/>
    <col min="2" max="3" width="13" style="5" customWidth="1"/>
    <col min="4" max="5" width="17.36328125" style="5" customWidth="1"/>
    <col min="6" max="7" width="15.81640625" style="5" customWidth="1"/>
    <col min="8" max="8" width="14.81640625" style="5" customWidth="1"/>
  </cols>
  <sheetData>
    <row r="1" spans="1:8" s="3" customFormat="1" ht="15.5" x14ac:dyDescent="0.35">
      <c r="A1" s="7" t="s">
        <v>11</v>
      </c>
      <c r="B1" s="4" t="s">
        <v>20</v>
      </c>
      <c r="C1" s="4" t="s">
        <v>21</v>
      </c>
      <c r="D1" s="4" t="s">
        <v>24</v>
      </c>
      <c r="E1" s="4" t="s">
        <v>23</v>
      </c>
      <c r="F1" s="4" t="s">
        <v>10</v>
      </c>
      <c r="G1" s="4" t="s">
        <v>15</v>
      </c>
      <c r="H1" s="4" t="s">
        <v>4</v>
      </c>
    </row>
    <row r="2" spans="1:8" x14ac:dyDescent="0.35">
      <c r="A2" s="8">
        <v>46023</v>
      </c>
      <c r="B2" s="5">
        <v>4850</v>
      </c>
      <c r="C2" s="5">
        <v>5350</v>
      </c>
      <c r="E2" s="5">
        <v>3400</v>
      </c>
      <c r="F2" s="5">
        <v>9500</v>
      </c>
      <c r="H2" s="5">
        <f>SUM(B2:G2)</f>
        <v>23100</v>
      </c>
    </row>
    <row r="3" spans="1:8" x14ac:dyDescent="0.35">
      <c r="A3" s="8">
        <v>46024</v>
      </c>
      <c r="C3" s="5">
        <v>6500</v>
      </c>
      <c r="E3" s="5">
        <v>5600</v>
      </c>
      <c r="F3" s="5">
        <v>3000</v>
      </c>
      <c r="H3" s="5">
        <f t="shared" ref="H3:H32" si="0">SUM(B3:G3)</f>
        <v>15100</v>
      </c>
    </row>
    <row r="4" spans="1:8" x14ac:dyDescent="0.35">
      <c r="A4" s="8">
        <v>46025</v>
      </c>
      <c r="B4" s="5">
        <v>4700</v>
      </c>
      <c r="C4" s="5">
        <v>4450</v>
      </c>
      <c r="E4" s="5">
        <v>3200</v>
      </c>
      <c r="F4" s="5">
        <v>7100</v>
      </c>
      <c r="H4" s="5">
        <f t="shared" si="0"/>
        <v>19450</v>
      </c>
    </row>
    <row r="5" spans="1:8" x14ac:dyDescent="0.35">
      <c r="A5" s="8">
        <v>46026</v>
      </c>
      <c r="C5" s="5">
        <v>6350</v>
      </c>
      <c r="E5" s="5">
        <v>6150</v>
      </c>
      <c r="F5" s="5">
        <v>4000</v>
      </c>
      <c r="H5" s="5">
        <f t="shared" si="0"/>
        <v>16500</v>
      </c>
    </row>
    <row r="6" spans="1:8" x14ac:dyDescent="0.35">
      <c r="A6" s="8">
        <v>46027</v>
      </c>
      <c r="C6" s="5">
        <v>7800</v>
      </c>
      <c r="E6" s="5">
        <v>7450</v>
      </c>
      <c r="F6" s="5">
        <v>3300</v>
      </c>
      <c r="H6" s="5">
        <f t="shared" si="0"/>
        <v>18550</v>
      </c>
    </row>
    <row r="7" spans="1:8" x14ac:dyDescent="0.35">
      <c r="A7" s="8">
        <v>46028</v>
      </c>
      <c r="C7" s="5">
        <v>9867</v>
      </c>
      <c r="E7" s="5">
        <v>3550</v>
      </c>
      <c r="F7" s="5">
        <v>5500</v>
      </c>
      <c r="H7" s="5">
        <f t="shared" si="0"/>
        <v>18917</v>
      </c>
    </row>
    <row r="8" spans="1:8" x14ac:dyDescent="0.35">
      <c r="A8" s="8">
        <v>46029</v>
      </c>
      <c r="C8" s="5">
        <v>8500</v>
      </c>
      <c r="E8" s="5">
        <v>6500</v>
      </c>
      <c r="F8" s="5">
        <v>4590</v>
      </c>
      <c r="H8" s="5">
        <f t="shared" si="0"/>
        <v>19590</v>
      </c>
    </row>
    <row r="9" spans="1:8" x14ac:dyDescent="0.35">
      <c r="A9" s="8">
        <v>46030</v>
      </c>
      <c r="C9" s="5">
        <v>7514</v>
      </c>
      <c r="E9" s="5">
        <v>6250</v>
      </c>
      <c r="F9" s="5">
        <v>4000</v>
      </c>
      <c r="H9" s="5">
        <f t="shared" si="0"/>
        <v>17764</v>
      </c>
    </row>
    <row r="10" spans="1:8" x14ac:dyDescent="0.35">
      <c r="A10" s="8">
        <v>46031</v>
      </c>
      <c r="C10" s="5">
        <v>8200</v>
      </c>
      <c r="E10" s="5">
        <v>4350</v>
      </c>
      <c r="F10" s="5">
        <v>4222</v>
      </c>
      <c r="H10" s="5">
        <f t="shared" si="0"/>
        <v>16772</v>
      </c>
    </row>
    <row r="11" spans="1:8" x14ac:dyDescent="0.35">
      <c r="A11" s="8">
        <v>46032</v>
      </c>
      <c r="C11" s="5">
        <v>9250</v>
      </c>
      <c r="E11" s="5">
        <v>7000</v>
      </c>
      <c r="F11" s="5">
        <v>3800</v>
      </c>
      <c r="H11" s="5">
        <f t="shared" si="0"/>
        <v>20050</v>
      </c>
    </row>
    <row r="12" spans="1:8" x14ac:dyDescent="0.35">
      <c r="A12" s="8">
        <v>46033</v>
      </c>
      <c r="C12" s="5">
        <v>8550</v>
      </c>
      <c r="E12" s="5">
        <v>3250</v>
      </c>
      <c r="F12" s="5">
        <v>3400</v>
      </c>
      <c r="H12" s="5">
        <f t="shared" si="0"/>
        <v>15200</v>
      </c>
    </row>
    <row r="13" spans="1:8" x14ac:dyDescent="0.35">
      <c r="A13" s="8">
        <v>46034</v>
      </c>
      <c r="C13" s="5">
        <v>10900</v>
      </c>
      <c r="E13" s="5">
        <v>7050</v>
      </c>
      <c r="F13" s="5">
        <v>6300</v>
      </c>
      <c r="H13" s="5">
        <f t="shared" si="0"/>
        <v>24250</v>
      </c>
    </row>
    <row r="14" spans="1:8" x14ac:dyDescent="0.35">
      <c r="A14" s="8">
        <v>46035</v>
      </c>
      <c r="C14" s="5">
        <v>11150</v>
      </c>
      <c r="E14" s="5">
        <v>6600</v>
      </c>
      <c r="F14" s="5">
        <v>5900</v>
      </c>
      <c r="H14" s="5">
        <f t="shared" si="0"/>
        <v>23650</v>
      </c>
    </row>
    <row r="15" spans="1:8" x14ac:dyDescent="0.35">
      <c r="A15" s="8">
        <v>46036</v>
      </c>
      <c r="C15" s="5">
        <v>13200</v>
      </c>
      <c r="E15" s="5">
        <v>4300</v>
      </c>
      <c r="F15" s="5">
        <v>3500</v>
      </c>
      <c r="H15" s="5">
        <f t="shared" si="0"/>
        <v>21000</v>
      </c>
    </row>
    <row r="16" spans="1:8" x14ac:dyDescent="0.35">
      <c r="A16" s="8">
        <v>46037</v>
      </c>
      <c r="C16" s="5">
        <v>11600</v>
      </c>
      <c r="E16" s="5">
        <v>4200</v>
      </c>
      <c r="F16" s="5">
        <v>2490</v>
      </c>
      <c r="H16" s="5">
        <f t="shared" si="0"/>
        <v>18290</v>
      </c>
    </row>
    <row r="17" spans="1:10" x14ac:dyDescent="0.35">
      <c r="A17" s="8">
        <v>46038</v>
      </c>
      <c r="C17" s="5">
        <v>13000</v>
      </c>
      <c r="E17" s="5">
        <v>6300</v>
      </c>
      <c r="F17" s="5">
        <v>5600</v>
      </c>
      <c r="H17" s="5">
        <f t="shared" si="0"/>
        <v>24900</v>
      </c>
    </row>
    <row r="18" spans="1:10" x14ac:dyDescent="0.35">
      <c r="A18" s="8">
        <v>46039</v>
      </c>
      <c r="C18" s="5">
        <v>8300</v>
      </c>
      <c r="E18" s="5">
        <v>5200</v>
      </c>
      <c r="F18" s="5">
        <v>7400</v>
      </c>
      <c r="H18" s="5">
        <f t="shared" si="0"/>
        <v>20900</v>
      </c>
    </row>
    <row r="19" spans="1:10" x14ac:dyDescent="0.35">
      <c r="A19" s="8">
        <v>46040</v>
      </c>
      <c r="C19" s="5">
        <v>7900</v>
      </c>
      <c r="E19" s="5">
        <v>4100</v>
      </c>
      <c r="F19" s="5">
        <v>5200</v>
      </c>
      <c r="H19" s="5">
        <f t="shared" si="0"/>
        <v>17200</v>
      </c>
    </row>
    <row r="20" spans="1:10" x14ac:dyDescent="0.35">
      <c r="A20" s="8">
        <v>46041</v>
      </c>
      <c r="C20" s="5">
        <v>8580</v>
      </c>
      <c r="E20" s="5">
        <v>5100</v>
      </c>
      <c r="F20" s="5">
        <v>10100</v>
      </c>
      <c r="H20" s="5">
        <f t="shared" si="0"/>
        <v>23780</v>
      </c>
    </row>
    <row r="21" spans="1:10" x14ac:dyDescent="0.35">
      <c r="A21" s="8">
        <v>46042</v>
      </c>
      <c r="C21" s="5">
        <v>11150</v>
      </c>
      <c r="E21" s="5">
        <v>4800</v>
      </c>
      <c r="F21" s="5">
        <v>3400</v>
      </c>
      <c r="H21" s="5">
        <f t="shared" si="0"/>
        <v>19350</v>
      </c>
    </row>
    <row r="22" spans="1:10" x14ac:dyDescent="0.35">
      <c r="A22" s="8">
        <v>46043</v>
      </c>
      <c r="C22" s="5">
        <v>10100</v>
      </c>
      <c r="E22" s="5">
        <v>3550</v>
      </c>
      <c r="F22" s="5">
        <v>5300</v>
      </c>
      <c r="H22" s="5">
        <f t="shared" si="0"/>
        <v>18950</v>
      </c>
    </row>
    <row r="23" spans="1:10" x14ac:dyDescent="0.35">
      <c r="A23" s="8">
        <v>46044</v>
      </c>
      <c r="C23" s="5">
        <v>10500</v>
      </c>
      <c r="E23" s="5">
        <v>6100</v>
      </c>
      <c r="F23" s="5">
        <v>4500</v>
      </c>
      <c r="H23" s="5">
        <f t="shared" si="0"/>
        <v>21100</v>
      </c>
    </row>
    <row r="24" spans="1:10" x14ac:dyDescent="0.35">
      <c r="A24" s="8">
        <v>46045</v>
      </c>
      <c r="C24" s="5">
        <v>7300</v>
      </c>
      <c r="E24" s="5">
        <v>5800</v>
      </c>
      <c r="F24" s="5">
        <v>4000</v>
      </c>
      <c r="H24" s="5">
        <f t="shared" si="0"/>
        <v>17100</v>
      </c>
    </row>
    <row r="25" spans="1:10" x14ac:dyDescent="0.35">
      <c r="A25" s="8">
        <v>46046</v>
      </c>
      <c r="C25" s="5">
        <v>10200</v>
      </c>
      <c r="E25" s="5">
        <v>3400</v>
      </c>
      <c r="F25" s="5">
        <v>5800</v>
      </c>
      <c r="H25" s="5">
        <f t="shared" si="0"/>
        <v>19400</v>
      </c>
    </row>
    <row r="26" spans="1:10" x14ac:dyDescent="0.35">
      <c r="A26" s="8">
        <v>46047</v>
      </c>
      <c r="C26" s="5">
        <v>13600</v>
      </c>
      <c r="E26" s="5">
        <v>2500</v>
      </c>
      <c r="F26" s="5">
        <v>6300</v>
      </c>
      <c r="H26" s="5">
        <f t="shared" si="0"/>
        <v>22400</v>
      </c>
      <c r="I26" s="5"/>
      <c r="J26" s="5"/>
    </row>
    <row r="27" spans="1:10" x14ac:dyDescent="0.35">
      <c r="A27" s="8">
        <v>46048</v>
      </c>
      <c r="C27" s="5">
        <v>9600</v>
      </c>
      <c r="E27" s="5">
        <f>1088+5500</f>
        <v>6588</v>
      </c>
      <c r="F27" s="5">
        <v>4200</v>
      </c>
      <c r="H27" s="5">
        <f t="shared" si="0"/>
        <v>20388</v>
      </c>
    </row>
    <row r="28" spans="1:10" x14ac:dyDescent="0.35">
      <c r="A28" s="8">
        <v>46049</v>
      </c>
      <c r="C28" s="5">
        <v>11300</v>
      </c>
      <c r="E28" s="5">
        <f>238+5700</f>
        <v>5938</v>
      </c>
      <c r="F28" s="5">
        <v>8100</v>
      </c>
      <c r="H28" s="5">
        <f t="shared" si="0"/>
        <v>25338</v>
      </c>
    </row>
    <row r="29" spans="1:10" x14ac:dyDescent="0.35">
      <c r="A29" s="8">
        <v>46050</v>
      </c>
      <c r="C29" s="5">
        <v>10800</v>
      </c>
      <c r="E29" s="5">
        <v>7300</v>
      </c>
      <c r="F29" s="5">
        <v>4300</v>
      </c>
      <c r="H29" s="5">
        <f t="shared" si="0"/>
        <v>22400</v>
      </c>
    </row>
    <row r="30" spans="1:10" x14ac:dyDescent="0.35">
      <c r="A30" s="8">
        <v>46051</v>
      </c>
      <c r="C30" s="5">
        <v>6800</v>
      </c>
      <c r="E30" s="5">
        <f>1310+475+8700</f>
        <v>10485</v>
      </c>
      <c r="F30" s="5">
        <v>5000</v>
      </c>
      <c r="H30" s="5">
        <f t="shared" si="0"/>
        <v>22285</v>
      </c>
    </row>
    <row r="31" spans="1:10" x14ac:dyDescent="0.35">
      <c r="A31" s="8">
        <v>46052</v>
      </c>
      <c r="C31" s="5">
        <v>13300</v>
      </c>
      <c r="E31" s="5">
        <f>205+6400</f>
        <v>6605</v>
      </c>
      <c r="F31" s="5">
        <v>4000</v>
      </c>
      <c r="H31" s="5">
        <f t="shared" si="0"/>
        <v>23905</v>
      </c>
    </row>
    <row r="32" spans="1:10" x14ac:dyDescent="0.35">
      <c r="A32" s="8">
        <v>46053</v>
      </c>
      <c r="C32" s="5">
        <v>12800</v>
      </c>
      <c r="E32" s="5">
        <v>4000</v>
      </c>
      <c r="F32" s="5">
        <v>10000</v>
      </c>
      <c r="H32" s="5">
        <f t="shared" si="0"/>
        <v>26800</v>
      </c>
    </row>
    <row r="33" spans="6:11" x14ac:dyDescent="0.35">
      <c r="H33" s="5">
        <f>SUM(H2:H32)</f>
        <v>634379</v>
      </c>
    </row>
    <row r="35" spans="6:11" x14ac:dyDescent="0.35">
      <c r="F35" s="5">
        <f>SUM(F2:F32)</f>
        <v>163802</v>
      </c>
    </row>
    <row r="37" spans="6:11" x14ac:dyDescent="0.35">
      <c r="K37" s="5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445D-7906-4818-BAA4-BD8A2F5CF3DA}">
  <dimension ref="A1:K37"/>
  <sheetViews>
    <sheetView workbookViewId="0">
      <selection activeCell="Q45" sqref="Q45"/>
    </sheetView>
  </sheetViews>
  <sheetFormatPr defaultColWidth="8.81640625" defaultRowHeight="14.5" x14ac:dyDescent="0.35"/>
  <cols>
    <col min="1" max="1" width="13.90625" style="8" customWidth="1"/>
    <col min="2" max="3" width="13" style="5" customWidth="1"/>
    <col min="4" max="5" width="17.36328125" style="5" customWidth="1"/>
    <col min="6" max="7" width="15.81640625" style="5" customWidth="1"/>
    <col min="8" max="8" width="14.81640625" style="5" customWidth="1"/>
  </cols>
  <sheetData>
    <row r="1" spans="1:8" s="3" customFormat="1" ht="15.5" x14ac:dyDescent="0.35">
      <c r="A1" s="7" t="s">
        <v>11</v>
      </c>
      <c r="B1" s="4" t="s">
        <v>20</v>
      </c>
      <c r="C1" s="4" t="s">
        <v>21</v>
      </c>
      <c r="D1" s="4" t="s">
        <v>24</v>
      </c>
      <c r="E1" s="4" t="s">
        <v>23</v>
      </c>
      <c r="F1" s="4" t="s">
        <v>10</v>
      </c>
      <c r="G1" s="4" t="s">
        <v>15</v>
      </c>
      <c r="H1" s="4" t="s">
        <v>4</v>
      </c>
    </row>
    <row r="2" spans="1:8" x14ac:dyDescent="0.35">
      <c r="A2" s="8">
        <v>45992</v>
      </c>
      <c r="B2" s="5">
        <v>9514</v>
      </c>
      <c r="C2" s="5">
        <v>2900</v>
      </c>
      <c r="D2" s="5">
        <v>4350</v>
      </c>
      <c r="E2" s="5">
        <v>2300</v>
      </c>
      <c r="F2" s="5">
        <v>6500</v>
      </c>
      <c r="H2" s="5">
        <f>SUM(B2:G2)</f>
        <v>25564</v>
      </c>
    </row>
    <row r="3" spans="1:8" x14ac:dyDescent="0.35">
      <c r="A3" s="8">
        <v>45993</v>
      </c>
      <c r="B3" s="5">
        <v>3600</v>
      </c>
      <c r="C3" s="5">
        <v>4690</v>
      </c>
      <c r="D3" s="5">
        <v>3900</v>
      </c>
      <c r="E3" s="5">
        <v>1550</v>
      </c>
      <c r="F3" s="5">
        <v>7570</v>
      </c>
      <c r="H3" s="5">
        <f t="shared" ref="H3:H32" si="0">SUM(B3:G3)</f>
        <v>21310</v>
      </c>
    </row>
    <row r="4" spans="1:8" x14ac:dyDescent="0.35">
      <c r="A4" s="8">
        <v>45994</v>
      </c>
      <c r="B4" s="5">
        <v>6550</v>
      </c>
      <c r="C4" s="5">
        <v>2180</v>
      </c>
      <c r="E4" s="5">
        <v>4100</v>
      </c>
      <c r="F4" s="5">
        <v>4300</v>
      </c>
      <c r="H4" s="5">
        <f t="shared" si="0"/>
        <v>17130</v>
      </c>
    </row>
    <row r="5" spans="1:8" x14ac:dyDescent="0.35">
      <c r="A5" s="8">
        <v>45995</v>
      </c>
      <c r="B5" s="5">
        <v>10300</v>
      </c>
      <c r="C5" s="5">
        <v>6750</v>
      </c>
      <c r="E5" s="5">
        <v>6900</v>
      </c>
      <c r="F5" s="5">
        <v>4413</v>
      </c>
      <c r="H5" s="5">
        <f t="shared" si="0"/>
        <v>28363</v>
      </c>
    </row>
    <row r="6" spans="1:8" x14ac:dyDescent="0.35">
      <c r="A6" s="8">
        <v>45996</v>
      </c>
      <c r="B6" s="5">
        <v>7150</v>
      </c>
      <c r="D6" s="5">
        <v>4300</v>
      </c>
      <c r="E6" s="5">
        <v>4800</v>
      </c>
      <c r="F6" s="5">
        <v>8000</v>
      </c>
      <c r="H6" s="5">
        <f t="shared" si="0"/>
        <v>24250</v>
      </c>
    </row>
    <row r="7" spans="1:8" x14ac:dyDescent="0.35">
      <c r="A7" s="8">
        <v>45997</v>
      </c>
      <c r="B7" s="5">
        <v>8100</v>
      </c>
      <c r="C7" s="5">
        <v>6000</v>
      </c>
      <c r="D7" s="5">
        <v>2700</v>
      </c>
      <c r="F7" s="5">
        <v>6000</v>
      </c>
      <c r="H7" s="5">
        <f t="shared" si="0"/>
        <v>22800</v>
      </c>
    </row>
    <row r="8" spans="1:8" x14ac:dyDescent="0.35">
      <c r="A8" s="8">
        <v>45998</v>
      </c>
      <c r="B8" s="5">
        <v>6500</v>
      </c>
      <c r="E8" s="5">
        <v>9900</v>
      </c>
      <c r="F8" s="5">
        <v>3100</v>
      </c>
      <c r="H8" s="5">
        <f t="shared" si="0"/>
        <v>19500</v>
      </c>
    </row>
    <row r="9" spans="1:8" x14ac:dyDescent="0.35">
      <c r="A9" s="8">
        <v>45999</v>
      </c>
      <c r="C9" s="5">
        <v>6915</v>
      </c>
      <c r="E9" s="5">
        <v>6300</v>
      </c>
      <c r="F9" s="5">
        <v>4100</v>
      </c>
      <c r="H9" s="5">
        <f t="shared" si="0"/>
        <v>17315</v>
      </c>
    </row>
    <row r="10" spans="1:8" x14ac:dyDescent="0.35">
      <c r="A10" s="8">
        <v>46000</v>
      </c>
      <c r="B10" s="5">
        <v>8000</v>
      </c>
      <c r="C10" s="5">
        <v>3600</v>
      </c>
      <c r="E10" s="5">
        <v>2900</v>
      </c>
      <c r="F10" s="5">
        <v>2543</v>
      </c>
      <c r="H10" s="5">
        <f t="shared" si="0"/>
        <v>17043</v>
      </c>
    </row>
    <row r="11" spans="1:8" x14ac:dyDescent="0.35">
      <c r="A11" s="8">
        <v>46001</v>
      </c>
      <c r="B11" s="5">
        <v>8600</v>
      </c>
      <c r="C11" s="5">
        <v>3000</v>
      </c>
      <c r="E11" s="5">
        <v>4500</v>
      </c>
      <c r="F11" s="5">
        <v>3723</v>
      </c>
      <c r="H11" s="5">
        <f t="shared" si="0"/>
        <v>19823</v>
      </c>
    </row>
    <row r="12" spans="1:8" x14ac:dyDescent="0.35">
      <c r="A12" s="8">
        <v>46002</v>
      </c>
      <c r="D12" s="5">
        <v>11000</v>
      </c>
      <c r="E12" s="5">
        <v>5850</v>
      </c>
      <c r="F12" s="5">
        <v>4573</v>
      </c>
      <c r="H12" s="5">
        <f t="shared" si="0"/>
        <v>21423</v>
      </c>
    </row>
    <row r="13" spans="1:8" x14ac:dyDescent="0.35">
      <c r="A13" s="8">
        <v>46003</v>
      </c>
      <c r="B13" s="5">
        <v>8400</v>
      </c>
      <c r="C13" s="5">
        <v>3150</v>
      </c>
      <c r="E13" s="5">
        <v>3500</v>
      </c>
      <c r="F13" s="5">
        <v>5814</v>
      </c>
      <c r="H13" s="5">
        <f t="shared" si="0"/>
        <v>20864</v>
      </c>
    </row>
    <row r="14" spans="1:8" x14ac:dyDescent="0.35">
      <c r="A14" s="8">
        <v>46004</v>
      </c>
      <c r="B14" s="5">
        <v>7350</v>
      </c>
      <c r="C14" s="5">
        <v>3350</v>
      </c>
      <c r="E14" s="5">
        <v>2650</v>
      </c>
      <c r="F14" s="5">
        <v>5101</v>
      </c>
      <c r="H14" s="5">
        <f t="shared" si="0"/>
        <v>18451</v>
      </c>
    </row>
    <row r="15" spans="1:8" x14ac:dyDescent="0.35">
      <c r="A15" s="8">
        <v>46005</v>
      </c>
      <c r="B15" s="5">
        <v>7900</v>
      </c>
      <c r="C15" s="5">
        <v>4150</v>
      </c>
      <c r="E15" s="5">
        <v>6600</v>
      </c>
      <c r="F15" s="5">
        <v>4787</v>
      </c>
      <c r="H15" s="5">
        <f t="shared" si="0"/>
        <v>23437</v>
      </c>
    </row>
    <row r="16" spans="1:8" x14ac:dyDescent="0.35">
      <c r="A16" s="8">
        <v>46006</v>
      </c>
      <c r="B16" s="5">
        <v>6867</v>
      </c>
      <c r="C16" s="5">
        <v>5700</v>
      </c>
      <c r="E16" s="5">
        <v>4200</v>
      </c>
      <c r="F16" s="5">
        <v>5920</v>
      </c>
      <c r="H16" s="5">
        <f t="shared" si="0"/>
        <v>22687</v>
      </c>
    </row>
    <row r="17" spans="1:10" x14ac:dyDescent="0.35">
      <c r="A17" s="8">
        <v>46007</v>
      </c>
      <c r="C17" s="5">
        <v>7100</v>
      </c>
      <c r="E17" s="5">
        <v>5300</v>
      </c>
      <c r="F17" s="5">
        <v>5752</v>
      </c>
      <c r="H17" s="5">
        <f t="shared" si="0"/>
        <v>18152</v>
      </c>
    </row>
    <row r="18" spans="1:10" x14ac:dyDescent="0.35">
      <c r="A18" s="8">
        <v>46008</v>
      </c>
      <c r="C18" s="5">
        <v>8650</v>
      </c>
      <c r="E18" s="5">
        <v>5300</v>
      </c>
      <c r="F18" s="5">
        <v>3845</v>
      </c>
      <c r="H18" s="5">
        <f t="shared" si="0"/>
        <v>17795</v>
      </c>
    </row>
    <row r="19" spans="1:10" x14ac:dyDescent="0.35">
      <c r="A19" s="8">
        <v>46009</v>
      </c>
      <c r="C19" s="5">
        <v>9607</v>
      </c>
      <c r="E19" s="5">
        <v>4250</v>
      </c>
      <c r="F19" s="5">
        <v>5589</v>
      </c>
      <c r="H19" s="5">
        <f t="shared" si="0"/>
        <v>19446</v>
      </c>
    </row>
    <row r="20" spans="1:10" x14ac:dyDescent="0.35">
      <c r="A20" s="8">
        <v>46010</v>
      </c>
      <c r="C20" s="5">
        <v>9300</v>
      </c>
      <c r="E20" s="5">
        <v>4550</v>
      </c>
      <c r="F20" s="5">
        <v>6079</v>
      </c>
      <c r="H20" s="5">
        <f t="shared" si="0"/>
        <v>19929</v>
      </c>
    </row>
    <row r="21" spans="1:10" x14ac:dyDescent="0.35">
      <c r="A21" s="8">
        <v>46011</v>
      </c>
      <c r="C21" s="5">
        <v>12600</v>
      </c>
      <c r="E21" s="5">
        <v>3800</v>
      </c>
      <c r="F21" s="5">
        <v>4990</v>
      </c>
      <c r="H21" s="5">
        <f t="shared" si="0"/>
        <v>21390</v>
      </c>
    </row>
    <row r="22" spans="1:10" x14ac:dyDescent="0.35">
      <c r="A22" s="8">
        <v>46012</v>
      </c>
      <c r="C22" s="5">
        <v>12100</v>
      </c>
      <c r="E22" s="5">
        <v>4150</v>
      </c>
      <c r="F22" s="5">
        <v>5375</v>
      </c>
      <c r="H22" s="5">
        <f t="shared" si="0"/>
        <v>21625</v>
      </c>
    </row>
    <row r="23" spans="1:10" x14ac:dyDescent="0.35">
      <c r="A23" s="8">
        <v>46013</v>
      </c>
      <c r="C23" s="5">
        <v>8100</v>
      </c>
      <c r="E23" s="5">
        <v>7000</v>
      </c>
      <c r="F23" s="5">
        <v>5625</v>
      </c>
      <c r="H23" s="5">
        <f t="shared" si="0"/>
        <v>20725</v>
      </c>
    </row>
    <row r="24" spans="1:10" x14ac:dyDescent="0.35">
      <c r="A24" s="8">
        <v>46014</v>
      </c>
      <c r="C24" s="5">
        <v>8000</v>
      </c>
      <c r="E24" s="5">
        <v>7130</v>
      </c>
      <c r="F24" s="5">
        <v>4107</v>
      </c>
      <c r="H24" s="5">
        <f t="shared" si="0"/>
        <v>19237</v>
      </c>
    </row>
    <row r="25" spans="1:10" x14ac:dyDescent="0.35">
      <c r="A25" s="8">
        <v>46015</v>
      </c>
      <c r="C25" s="5">
        <v>10000</v>
      </c>
      <c r="E25" s="5">
        <v>5400</v>
      </c>
      <c r="F25" s="5">
        <v>2273</v>
      </c>
      <c r="H25" s="5">
        <f t="shared" si="0"/>
        <v>17673</v>
      </c>
    </row>
    <row r="26" spans="1:10" x14ac:dyDescent="0.35">
      <c r="A26" s="8">
        <v>46016</v>
      </c>
      <c r="C26" s="5">
        <v>6100</v>
      </c>
      <c r="E26" s="5">
        <v>5400</v>
      </c>
      <c r="F26" s="5">
        <v>6836</v>
      </c>
      <c r="H26" s="5">
        <f t="shared" si="0"/>
        <v>18336</v>
      </c>
      <c r="I26" s="5"/>
      <c r="J26" s="5"/>
    </row>
    <row r="27" spans="1:10" x14ac:dyDescent="0.35">
      <c r="A27" s="8">
        <v>46017</v>
      </c>
      <c r="C27" s="5">
        <v>8600</v>
      </c>
      <c r="E27" s="5">
        <v>6200</v>
      </c>
      <c r="F27" s="5">
        <v>4837</v>
      </c>
      <c r="H27" s="5">
        <f t="shared" si="0"/>
        <v>19637</v>
      </c>
    </row>
    <row r="28" spans="1:10" x14ac:dyDescent="0.35">
      <c r="A28" s="8">
        <v>46018</v>
      </c>
      <c r="C28" s="5">
        <v>9450</v>
      </c>
      <c r="E28" s="5">
        <v>5700</v>
      </c>
      <c r="F28" s="5">
        <v>2955</v>
      </c>
      <c r="H28" s="5">
        <f t="shared" si="0"/>
        <v>18105</v>
      </c>
    </row>
    <row r="29" spans="1:10" x14ac:dyDescent="0.35">
      <c r="A29" s="8">
        <v>46019</v>
      </c>
      <c r="C29" s="5">
        <v>7900</v>
      </c>
      <c r="E29" s="5">
        <v>5300</v>
      </c>
      <c r="F29" s="5">
        <v>3212</v>
      </c>
      <c r="H29" s="5">
        <f t="shared" si="0"/>
        <v>16412</v>
      </c>
    </row>
    <row r="30" spans="1:10" x14ac:dyDescent="0.35">
      <c r="A30" s="8">
        <v>46020</v>
      </c>
      <c r="C30" s="5">
        <v>6250</v>
      </c>
      <c r="E30" s="5">
        <v>6450</v>
      </c>
      <c r="F30" s="5">
        <v>6096</v>
      </c>
      <c r="H30" s="5">
        <f t="shared" si="0"/>
        <v>18796</v>
      </c>
    </row>
    <row r="31" spans="1:10" x14ac:dyDescent="0.35">
      <c r="A31" s="8">
        <v>46021</v>
      </c>
      <c r="C31" s="5">
        <v>8850</v>
      </c>
      <c r="E31" s="5">
        <v>6800</v>
      </c>
      <c r="F31" s="5">
        <v>3951</v>
      </c>
      <c r="H31" s="5">
        <f t="shared" si="0"/>
        <v>19601</v>
      </c>
    </row>
    <row r="32" spans="1:10" x14ac:dyDescent="0.35">
      <c r="A32" s="8">
        <v>46022</v>
      </c>
      <c r="C32" s="5">
        <v>12000</v>
      </c>
      <c r="E32" s="5">
        <v>7100</v>
      </c>
      <c r="F32" s="5">
        <v>5940</v>
      </c>
      <c r="H32" s="5">
        <f t="shared" si="0"/>
        <v>25040</v>
      </c>
    </row>
    <row r="33" spans="8:11" x14ac:dyDescent="0.35">
      <c r="H33" s="5">
        <f>SUM(H2:H32)</f>
        <v>631859</v>
      </c>
    </row>
    <row r="37" spans="8:11" x14ac:dyDescent="0.35">
      <c r="K37" s="5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BADD1-C6CE-4671-BF29-494981E1EE2B}">
  <dimension ref="A1:K37"/>
  <sheetViews>
    <sheetView workbookViewId="0">
      <selection activeCell="C57" sqref="C57"/>
    </sheetView>
  </sheetViews>
  <sheetFormatPr defaultColWidth="8.81640625" defaultRowHeight="14.5" x14ac:dyDescent="0.35"/>
  <cols>
    <col min="1" max="1" width="13.90625" style="8" customWidth="1"/>
    <col min="2" max="3" width="13" style="5" customWidth="1"/>
    <col min="4" max="5" width="17.36328125" style="5" customWidth="1"/>
    <col min="6" max="7" width="15.81640625" style="5" customWidth="1"/>
    <col min="8" max="8" width="14.81640625" style="5" customWidth="1"/>
  </cols>
  <sheetData>
    <row r="1" spans="1:8" s="3" customFormat="1" ht="15.5" x14ac:dyDescent="0.35">
      <c r="A1" s="7" t="s">
        <v>11</v>
      </c>
      <c r="B1" s="4" t="s">
        <v>20</v>
      </c>
      <c r="C1" s="4" t="s">
        <v>21</v>
      </c>
      <c r="D1" s="4" t="s">
        <v>24</v>
      </c>
      <c r="E1" s="4" t="s">
        <v>23</v>
      </c>
      <c r="F1" s="4" t="s">
        <v>10</v>
      </c>
      <c r="G1" s="4" t="s">
        <v>15</v>
      </c>
      <c r="H1" s="4" t="s">
        <v>4</v>
      </c>
    </row>
    <row r="2" spans="1:8" x14ac:dyDescent="0.35">
      <c r="A2" s="8">
        <v>45962</v>
      </c>
      <c r="B2" s="5">
        <v>5700</v>
      </c>
      <c r="C2" s="5">
        <v>4800</v>
      </c>
      <c r="D2" s="5">
        <v>5050</v>
      </c>
      <c r="E2" s="5">
        <v>2400</v>
      </c>
      <c r="F2" s="5">
        <v>6100</v>
      </c>
      <c r="H2" s="5">
        <f>SUM(B2:G2)</f>
        <v>24050</v>
      </c>
    </row>
    <row r="3" spans="1:8" x14ac:dyDescent="0.35">
      <c r="A3" s="8">
        <v>45963</v>
      </c>
      <c r="B3" s="5">
        <v>7800</v>
      </c>
      <c r="D3" s="5">
        <v>5350</v>
      </c>
      <c r="E3" s="5">
        <v>4400</v>
      </c>
      <c r="F3" s="5">
        <v>3800</v>
      </c>
      <c r="H3" s="5">
        <f t="shared" ref="H3:H31" si="0">SUM(B3:G3)</f>
        <v>21350</v>
      </c>
    </row>
    <row r="4" spans="1:8" x14ac:dyDescent="0.35">
      <c r="A4" s="8">
        <v>45964</v>
      </c>
      <c r="B4" s="5">
        <v>8500</v>
      </c>
      <c r="C4" s="5">
        <v>4000</v>
      </c>
      <c r="D4" s="5">
        <v>4400</v>
      </c>
      <c r="E4" s="5">
        <v>1500</v>
      </c>
      <c r="F4" s="5">
        <v>3500</v>
      </c>
      <c r="H4" s="5">
        <f t="shared" si="0"/>
        <v>21900</v>
      </c>
    </row>
    <row r="5" spans="1:8" x14ac:dyDescent="0.35">
      <c r="A5" s="8">
        <v>45965</v>
      </c>
      <c r="B5" s="5">
        <v>9000</v>
      </c>
      <c r="C5" s="5">
        <v>3100</v>
      </c>
      <c r="D5" s="5">
        <v>2700</v>
      </c>
      <c r="E5" s="5">
        <v>2800</v>
      </c>
      <c r="F5" s="5">
        <v>6600</v>
      </c>
      <c r="H5" s="5">
        <f t="shared" si="0"/>
        <v>24200</v>
      </c>
    </row>
    <row r="6" spans="1:8" x14ac:dyDescent="0.35">
      <c r="A6" s="8">
        <v>45966</v>
      </c>
      <c r="B6" s="5">
        <v>9550</v>
      </c>
      <c r="C6" s="5">
        <v>4706</v>
      </c>
      <c r="D6" s="5">
        <v>4900</v>
      </c>
      <c r="E6" s="5">
        <v>900</v>
      </c>
      <c r="F6" s="5">
        <v>6700</v>
      </c>
      <c r="H6" s="5">
        <f t="shared" si="0"/>
        <v>26756</v>
      </c>
    </row>
    <row r="7" spans="1:8" x14ac:dyDescent="0.35">
      <c r="A7" s="8">
        <v>45967</v>
      </c>
      <c r="B7" s="5">
        <v>5900</v>
      </c>
      <c r="C7" s="5">
        <v>1950</v>
      </c>
      <c r="E7" s="5">
        <v>2500</v>
      </c>
      <c r="F7" s="5">
        <v>2400</v>
      </c>
      <c r="H7" s="5">
        <f t="shared" si="0"/>
        <v>12750</v>
      </c>
    </row>
    <row r="8" spans="1:8" x14ac:dyDescent="0.35">
      <c r="A8" s="8">
        <v>45968</v>
      </c>
      <c r="B8" s="5">
        <v>5600</v>
      </c>
      <c r="C8" s="5">
        <v>5250</v>
      </c>
      <c r="D8" s="5">
        <v>2100</v>
      </c>
      <c r="E8" s="5">
        <v>2300</v>
      </c>
      <c r="F8" s="5">
        <v>4000</v>
      </c>
      <c r="H8" s="5">
        <f t="shared" si="0"/>
        <v>19250</v>
      </c>
    </row>
    <row r="9" spans="1:8" x14ac:dyDescent="0.35">
      <c r="A9" s="8">
        <v>45969</v>
      </c>
      <c r="C9" s="5">
        <v>12000</v>
      </c>
      <c r="E9" s="5">
        <v>3350</v>
      </c>
      <c r="F9" s="5">
        <v>3600</v>
      </c>
      <c r="H9" s="5">
        <f t="shared" si="0"/>
        <v>18950</v>
      </c>
    </row>
    <row r="10" spans="1:8" x14ac:dyDescent="0.35">
      <c r="A10" s="8">
        <v>45970</v>
      </c>
      <c r="C10" s="5">
        <v>8200</v>
      </c>
      <c r="D10" s="5">
        <v>5900</v>
      </c>
      <c r="E10" s="5">
        <v>1400</v>
      </c>
      <c r="F10" s="5">
        <v>3200</v>
      </c>
      <c r="H10" s="5">
        <f t="shared" si="0"/>
        <v>18700</v>
      </c>
    </row>
    <row r="11" spans="1:8" x14ac:dyDescent="0.35">
      <c r="A11" s="8">
        <v>45971</v>
      </c>
      <c r="B11" s="5">
        <v>7050</v>
      </c>
      <c r="D11" s="5">
        <v>3000</v>
      </c>
      <c r="E11" s="5">
        <v>4200</v>
      </c>
      <c r="F11" s="5">
        <v>3700</v>
      </c>
      <c r="H11" s="5">
        <f t="shared" si="0"/>
        <v>17950</v>
      </c>
    </row>
    <row r="12" spans="1:8" x14ac:dyDescent="0.35">
      <c r="A12" s="8">
        <v>45972</v>
      </c>
      <c r="B12" s="5">
        <v>7000</v>
      </c>
      <c r="C12" s="5">
        <v>1000</v>
      </c>
      <c r="D12" s="5">
        <v>2700</v>
      </c>
      <c r="E12" s="5">
        <v>2150</v>
      </c>
      <c r="F12" s="5">
        <v>6897</v>
      </c>
      <c r="H12" s="5">
        <f t="shared" si="0"/>
        <v>19747</v>
      </c>
    </row>
    <row r="13" spans="1:8" x14ac:dyDescent="0.35">
      <c r="A13" s="8">
        <v>45973</v>
      </c>
      <c r="B13" s="5">
        <v>6200</v>
      </c>
      <c r="D13" s="5">
        <v>2900</v>
      </c>
      <c r="E13" s="5">
        <v>4150</v>
      </c>
      <c r="F13" s="5">
        <v>5077</v>
      </c>
      <c r="H13" s="5">
        <f t="shared" si="0"/>
        <v>18327</v>
      </c>
    </row>
    <row r="14" spans="1:8" x14ac:dyDescent="0.35">
      <c r="A14" s="8">
        <v>45974</v>
      </c>
      <c r="B14" s="5">
        <v>5600</v>
      </c>
      <c r="C14" s="5">
        <v>7629</v>
      </c>
      <c r="D14" s="5">
        <v>2300</v>
      </c>
      <c r="E14" s="5">
        <v>3200</v>
      </c>
      <c r="F14" s="5">
        <v>7303</v>
      </c>
      <c r="H14" s="5">
        <f t="shared" si="0"/>
        <v>26032</v>
      </c>
    </row>
    <row r="15" spans="1:8" x14ac:dyDescent="0.35">
      <c r="A15" s="8">
        <v>45975</v>
      </c>
      <c r="B15" s="5">
        <v>4600</v>
      </c>
      <c r="C15" s="5">
        <v>2700</v>
      </c>
      <c r="D15" s="5">
        <v>2400</v>
      </c>
      <c r="E15" s="5">
        <v>2850</v>
      </c>
      <c r="F15" s="5">
        <v>3462</v>
      </c>
      <c r="H15" s="5">
        <f t="shared" si="0"/>
        <v>16012</v>
      </c>
    </row>
    <row r="16" spans="1:8" x14ac:dyDescent="0.35">
      <c r="A16" s="8">
        <v>45976</v>
      </c>
      <c r="C16" s="5">
        <v>8000</v>
      </c>
      <c r="E16" s="5">
        <v>4700</v>
      </c>
      <c r="F16" s="5">
        <v>7935</v>
      </c>
      <c r="H16" s="5">
        <f t="shared" si="0"/>
        <v>20635</v>
      </c>
    </row>
    <row r="17" spans="1:10" x14ac:dyDescent="0.35">
      <c r="A17" s="8">
        <v>45977</v>
      </c>
      <c r="B17" s="5">
        <v>3900</v>
      </c>
      <c r="C17" s="5">
        <v>2500</v>
      </c>
      <c r="E17" s="5">
        <v>2900</v>
      </c>
      <c r="F17" s="5">
        <v>4310</v>
      </c>
      <c r="H17" s="5">
        <f t="shared" si="0"/>
        <v>13610</v>
      </c>
    </row>
    <row r="18" spans="1:10" x14ac:dyDescent="0.35">
      <c r="A18" s="8">
        <v>45978</v>
      </c>
      <c r="B18" s="5">
        <v>5500</v>
      </c>
      <c r="C18" s="5">
        <v>3000</v>
      </c>
      <c r="D18" s="5">
        <v>2900</v>
      </c>
      <c r="E18" s="5">
        <v>1500</v>
      </c>
      <c r="F18" s="5">
        <v>3339</v>
      </c>
      <c r="H18" s="5">
        <f t="shared" si="0"/>
        <v>16239</v>
      </c>
    </row>
    <row r="19" spans="1:10" x14ac:dyDescent="0.35">
      <c r="A19" s="8">
        <v>45979</v>
      </c>
      <c r="B19" s="5">
        <v>6750</v>
      </c>
      <c r="C19" s="5">
        <v>3200</v>
      </c>
      <c r="D19" s="5">
        <v>3000</v>
      </c>
      <c r="E19" s="5">
        <v>1900</v>
      </c>
      <c r="F19" s="5">
        <v>4093</v>
      </c>
      <c r="H19" s="5">
        <f t="shared" si="0"/>
        <v>18943</v>
      </c>
    </row>
    <row r="20" spans="1:10" x14ac:dyDescent="0.35">
      <c r="A20" s="8">
        <v>45980</v>
      </c>
      <c r="B20" s="5">
        <v>5800</v>
      </c>
      <c r="C20" s="5">
        <v>2150</v>
      </c>
      <c r="E20" s="5">
        <v>1150</v>
      </c>
      <c r="F20" s="5">
        <v>2841</v>
      </c>
      <c r="H20" s="5">
        <f t="shared" si="0"/>
        <v>11941</v>
      </c>
    </row>
    <row r="21" spans="1:10" x14ac:dyDescent="0.35">
      <c r="A21" s="8">
        <v>45981</v>
      </c>
      <c r="C21" s="5">
        <v>9100</v>
      </c>
      <c r="E21" s="5">
        <v>7900</v>
      </c>
      <c r="F21" s="5">
        <v>7471</v>
      </c>
      <c r="H21" s="5">
        <f t="shared" si="0"/>
        <v>24471</v>
      </c>
    </row>
    <row r="22" spans="1:10" x14ac:dyDescent="0.35">
      <c r="A22" s="8">
        <v>45982</v>
      </c>
      <c r="C22" s="5">
        <v>10100</v>
      </c>
      <c r="D22" s="5">
        <v>6300</v>
      </c>
      <c r="E22" s="5">
        <v>6400</v>
      </c>
      <c r="F22" s="5">
        <v>12098</v>
      </c>
      <c r="H22" s="5">
        <f t="shared" si="0"/>
        <v>34898</v>
      </c>
    </row>
    <row r="23" spans="1:10" x14ac:dyDescent="0.35">
      <c r="A23" s="8">
        <v>45983</v>
      </c>
      <c r="B23" s="5">
        <v>21750</v>
      </c>
      <c r="D23" s="5">
        <v>4800</v>
      </c>
      <c r="E23" s="5">
        <v>8100</v>
      </c>
      <c r="F23" s="5">
        <v>15482</v>
      </c>
      <c r="H23" s="5">
        <f t="shared" si="0"/>
        <v>50132</v>
      </c>
    </row>
    <row r="24" spans="1:10" x14ac:dyDescent="0.35">
      <c r="A24" s="8">
        <v>45984</v>
      </c>
      <c r="C24" s="5">
        <v>14500</v>
      </c>
      <c r="E24" s="5">
        <v>10400</v>
      </c>
      <c r="F24" s="5">
        <v>13089</v>
      </c>
      <c r="H24" s="5">
        <f t="shared" si="0"/>
        <v>37989</v>
      </c>
    </row>
    <row r="25" spans="1:10" x14ac:dyDescent="0.35">
      <c r="A25" s="8">
        <v>45985</v>
      </c>
      <c r="B25" s="5">
        <v>10100</v>
      </c>
      <c r="C25" s="5">
        <v>5100</v>
      </c>
      <c r="D25" s="5">
        <v>4000</v>
      </c>
      <c r="E25" s="5">
        <v>7300</v>
      </c>
      <c r="F25" s="5">
        <v>12448</v>
      </c>
      <c r="H25" s="5">
        <f t="shared" si="0"/>
        <v>38948</v>
      </c>
    </row>
    <row r="26" spans="1:10" x14ac:dyDescent="0.35">
      <c r="A26" s="8">
        <v>45986</v>
      </c>
      <c r="B26" s="5">
        <v>10900</v>
      </c>
      <c r="C26" s="5">
        <v>4200</v>
      </c>
      <c r="D26" s="5">
        <v>3600</v>
      </c>
      <c r="E26" s="5">
        <v>2400</v>
      </c>
      <c r="F26" s="5">
        <v>6868</v>
      </c>
      <c r="H26" s="5">
        <f t="shared" si="0"/>
        <v>27968</v>
      </c>
      <c r="I26" s="5"/>
      <c r="J26" s="5"/>
    </row>
    <row r="27" spans="1:10" x14ac:dyDescent="0.35">
      <c r="A27" s="8">
        <v>45987</v>
      </c>
      <c r="B27" s="5">
        <v>8300</v>
      </c>
      <c r="C27" s="5">
        <v>4000</v>
      </c>
      <c r="D27" s="5">
        <v>8100</v>
      </c>
      <c r="E27" s="5">
        <v>2000</v>
      </c>
      <c r="F27" s="5">
        <v>5654</v>
      </c>
      <c r="H27" s="5">
        <f t="shared" si="0"/>
        <v>28054</v>
      </c>
    </row>
    <row r="28" spans="1:10" x14ac:dyDescent="0.35">
      <c r="A28" s="8">
        <v>45988</v>
      </c>
      <c r="C28" s="5">
        <v>13200</v>
      </c>
      <c r="D28" s="5">
        <v>3850</v>
      </c>
      <c r="E28" s="5">
        <v>1150</v>
      </c>
      <c r="F28" s="5">
        <v>3507</v>
      </c>
      <c r="H28" s="5">
        <f t="shared" si="0"/>
        <v>21707</v>
      </c>
    </row>
    <row r="29" spans="1:10" x14ac:dyDescent="0.35">
      <c r="A29" s="8">
        <v>45989</v>
      </c>
      <c r="B29" s="5">
        <v>9100</v>
      </c>
      <c r="C29" s="5">
        <v>5300</v>
      </c>
      <c r="D29" s="5">
        <v>5500</v>
      </c>
      <c r="E29" s="5">
        <v>1800</v>
      </c>
      <c r="F29" s="5">
        <v>2982</v>
      </c>
      <c r="H29" s="5">
        <f t="shared" si="0"/>
        <v>24682</v>
      </c>
    </row>
    <row r="30" spans="1:10" x14ac:dyDescent="0.35">
      <c r="A30" s="8">
        <v>45990</v>
      </c>
      <c r="C30" s="5">
        <v>13300</v>
      </c>
      <c r="E30" s="5">
        <v>4900</v>
      </c>
      <c r="F30" s="5">
        <v>2677</v>
      </c>
      <c r="H30" s="5">
        <f t="shared" si="0"/>
        <v>20877</v>
      </c>
    </row>
    <row r="31" spans="1:10" x14ac:dyDescent="0.35">
      <c r="A31" s="8">
        <v>45991</v>
      </c>
      <c r="D31" s="5">
        <v>10700</v>
      </c>
      <c r="E31" s="5">
        <v>5700</v>
      </c>
      <c r="F31" s="5">
        <v>3388</v>
      </c>
      <c r="H31" s="5">
        <f t="shared" si="0"/>
        <v>19788</v>
      </c>
    </row>
    <row r="32" spans="1:10" x14ac:dyDescent="0.35">
      <c r="H32" s="5">
        <f>SUM(H2:H31)</f>
        <v>696856</v>
      </c>
    </row>
    <row r="37" spans="11:11" x14ac:dyDescent="0.35">
      <c r="K37" s="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4FF73-27B6-46B9-90EC-B8C61C4982D3}">
  <dimension ref="A1:K38"/>
  <sheetViews>
    <sheetView workbookViewId="0">
      <selection activeCell="H34" sqref="H34"/>
    </sheetView>
  </sheetViews>
  <sheetFormatPr defaultColWidth="8.81640625" defaultRowHeight="14.5" x14ac:dyDescent="0.35"/>
  <cols>
    <col min="1" max="1" width="13.90625" style="8" customWidth="1"/>
    <col min="2" max="3" width="13" style="5" customWidth="1"/>
    <col min="4" max="5" width="17.36328125" style="5" customWidth="1"/>
    <col min="6" max="7" width="15.81640625" style="5" customWidth="1"/>
    <col min="8" max="8" width="14.81640625" style="5" customWidth="1"/>
  </cols>
  <sheetData>
    <row r="1" spans="1:8" s="3" customFormat="1" ht="15.5" x14ac:dyDescent="0.35">
      <c r="A1" s="7" t="s">
        <v>11</v>
      </c>
      <c r="B1" s="4" t="s">
        <v>20</v>
      </c>
      <c r="C1" s="4" t="s">
        <v>21</v>
      </c>
      <c r="D1" s="4" t="s">
        <v>24</v>
      </c>
      <c r="E1" s="4" t="s">
        <v>23</v>
      </c>
      <c r="F1" s="4" t="s">
        <v>10</v>
      </c>
      <c r="G1" s="4" t="s">
        <v>15</v>
      </c>
      <c r="H1" s="4" t="s">
        <v>4</v>
      </c>
    </row>
    <row r="2" spans="1:8" x14ac:dyDescent="0.35">
      <c r="A2" s="8">
        <v>45931</v>
      </c>
      <c r="B2" s="5">
        <v>7422</v>
      </c>
      <c r="C2" s="5">
        <v>800</v>
      </c>
      <c r="D2" s="5">
        <v>4050</v>
      </c>
      <c r="F2" s="5">
        <v>4700</v>
      </c>
      <c r="H2" s="5">
        <f>SUM(B2:G2)</f>
        <v>16972</v>
      </c>
    </row>
    <row r="3" spans="1:8" x14ac:dyDescent="0.35">
      <c r="A3" s="8">
        <v>45932</v>
      </c>
      <c r="C3" s="5">
        <v>12200</v>
      </c>
      <c r="D3" s="5">
        <v>1900</v>
      </c>
      <c r="F3" s="5">
        <v>2594</v>
      </c>
      <c r="H3" s="5">
        <f t="shared" ref="H3:H32" si="0">SUM(B3:G3)</f>
        <v>16694</v>
      </c>
    </row>
    <row r="4" spans="1:8" x14ac:dyDescent="0.35">
      <c r="A4" s="8">
        <v>45933</v>
      </c>
      <c r="B4" s="5">
        <v>7100</v>
      </c>
      <c r="C4" s="5">
        <v>4200</v>
      </c>
      <c r="D4" s="5">
        <v>3400</v>
      </c>
      <c r="F4" s="5">
        <v>2318</v>
      </c>
      <c r="H4" s="5">
        <f t="shared" si="0"/>
        <v>17018</v>
      </c>
    </row>
    <row r="5" spans="1:8" x14ac:dyDescent="0.35">
      <c r="A5" s="8">
        <v>45934</v>
      </c>
      <c r="B5" s="5">
        <v>5873</v>
      </c>
      <c r="C5" s="5">
        <v>3200</v>
      </c>
      <c r="D5" s="5">
        <v>4200</v>
      </c>
      <c r="F5" s="5">
        <v>6900</v>
      </c>
      <c r="H5" s="5">
        <f t="shared" si="0"/>
        <v>20173</v>
      </c>
    </row>
    <row r="6" spans="1:8" x14ac:dyDescent="0.35">
      <c r="A6" s="8">
        <v>45935</v>
      </c>
      <c r="B6" s="5">
        <v>5800</v>
      </c>
      <c r="C6" s="5">
        <v>4600</v>
      </c>
      <c r="D6" s="5">
        <v>6900</v>
      </c>
      <c r="F6" s="5">
        <v>6348</v>
      </c>
      <c r="H6" s="5">
        <f t="shared" si="0"/>
        <v>23648</v>
      </c>
    </row>
    <row r="7" spans="1:8" x14ac:dyDescent="0.35">
      <c r="A7" s="8">
        <v>45936</v>
      </c>
      <c r="B7" s="5">
        <v>4400</v>
      </c>
      <c r="C7" s="5">
        <v>4100</v>
      </c>
      <c r="D7" s="5">
        <v>5300</v>
      </c>
      <c r="F7" s="5">
        <v>3400</v>
      </c>
      <c r="H7" s="5">
        <f t="shared" si="0"/>
        <v>17200</v>
      </c>
    </row>
    <row r="8" spans="1:8" x14ac:dyDescent="0.35">
      <c r="A8" s="8">
        <v>45937</v>
      </c>
      <c r="C8" s="5">
        <v>12200</v>
      </c>
      <c r="D8" s="5">
        <v>3500</v>
      </c>
      <c r="F8" s="5">
        <v>4400</v>
      </c>
      <c r="H8" s="5">
        <f t="shared" si="0"/>
        <v>20100</v>
      </c>
    </row>
    <row r="9" spans="1:8" x14ac:dyDescent="0.35">
      <c r="A9" s="8">
        <v>45938</v>
      </c>
      <c r="B9" s="5">
        <v>7150</v>
      </c>
      <c r="C9" s="5">
        <v>3650</v>
      </c>
      <c r="D9" s="5">
        <v>6450</v>
      </c>
      <c r="F9" s="5">
        <v>5500</v>
      </c>
      <c r="H9" s="5">
        <f t="shared" si="0"/>
        <v>22750</v>
      </c>
    </row>
    <row r="10" spans="1:8" x14ac:dyDescent="0.35">
      <c r="A10" s="8">
        <v>45939</v>
      </c>
      <c r="B10" s="5">
        <v>5800</v>
      </c>
      <c r="C10" s="5">
        <v>2100</v>
      </c>
      <c r="D10" s="5">
        <v>5300</v>
      </c>
      <c r="F10" s="5">
        <v>4500</v>
      </c>
      <c r="H10" s="5">
        <f t="shared" si="0"/>
        <v>17700</v>
      </c>
    </row>
    <row r="11" spans="1:8" x14ac:dyDescent="0.35">
      <c r="A11" s="8">
        <v>45940</v>
      </c>
      <c r="B11" s="5">
        <v>9200</v>
      </c>
      <c r="C11" s="5">
        <v>3500</v>
      </c>
      <c r="D11" s="5">
        <v>3200</v>
      </c>
      <c r="F11" s="5">
        <v>2900</v>
      </c>
      <c r="H11" s="5">
        <f t="shared" si="0"/>
        <v>18800</v>
      </c>
    </row>
    <row r="12" spans="1:8" x14ac:dyDescent="0.35">
      <c r="A12" s="8">
        <v>45941</v>
      </c>
      <c r="C12" s="5">
        <v>10000</v>
      </c>
      <c r="D12" s="5">
        <v>8400</v>
      </c>
      <c r="F12" s="5">
        <v>3600</v>
      </c>
      <c r="H12" s="5">
        <f t="shared" si="0"/>
        <v>22000</v>
      </c>
    </row>
    <row r="13" spans="1:8" x14ac:dyDescent="0.35">
      <c r="A13" s="8">
        <v>45942</v>
      </c>
      <c r="B13" s="5">
        <v>8500</v>
      </c>
      <c r="C13" s="5">
        <v>3400</v>
      </c>
      <c r="D13" s="5">
        <v>3900</v>
      </c>
      <c r="F13" s="5">
        <v>5900</v>
      </c>
      <c r="H13" s="5">
        <f t="shared" si="0"/>
        <v>21700</v>
      </c>
    </row>
    <row r="14" spans="1:8" x14ac:dyDescent="0.35">
      <c r="A14" s="8">
        <v>45943</v>
      </c>
      <c r="C14" s="5">
        <v>8600</v>
      </c>
      <c r="D14" s="5">
        <v>3800</v>
      </c>
      <c r="F14" s="5">
        <v>6400</v>
      </c>
      <c r="H14" s="5">
        <f t="shared" si="0"/>
        <v>18800</v>
      </c>
    </row>
    <row r="15" spans="1:8" x14ac:dyDescent="0.35">
      <c r="A15" s="8">
        <v>45944</v>
      </c>
      <c r="B15" s="5">
        <v>5850</v>
      </c>
      <c r="C15" s="5">
        <v>2300</v>
      </c>
      <c r="E15" s="5">
        <v>7150</v>
      </c>
      <c r="F15" s="5">
        <v>2800</v>
      </c>
      <c r="H15" s="5">
        <f t="shared" si="0"/>
        <v>18100</v>
      </c>
    </row>
    <row r="16" spans="1:8" x14ac:dyDescent="0.35">
      <c r="A16" s="8">
        <v>45945</v>
      </c>
      <c r="B16" s="5">
        <v>6900</v>
      </c>
      <c r="C16" s="5">
        <v>2300</v>
      </c>
      <c r="E16" s="5">
        <v>6000</v>
      </c>
      <c r="F16" s="5">
        <v>3000</v>
      </c>
      <c r="H16" s="5">
        <f t="shared" si="0"/>
        <v>18200</v>
      </c>
    </row>
    <row r="17" spans="1:10" x14ac:dyDescent="0.35">
      <c r="A17" s="8">
        <v>45946</v>
      </c>
      <c r="B17" s="5">
        <v>3750</v>
      </c>
      <c r="C17" s="5">
        <v>3100</v>
      </c>
      <c r="E17" s="5">
        <v>4200</v>
      </c>
      <c r="F17" s="5">
        <v>5715</v>
      </c>
      <c r="H17" s="5">
        <f t="shared" si="0"/>
        <v>16765</v>
      </c>
    </row>
    <row r="18" spans="1:10" x14ac:dyDescent="0.35">
      <c r="A18" s="8">
        <v>45947</v>
      </c>
      <c r="B18" s="5">
        <v>6250</v>
      </c>
      <c r="C18" s="5">
        <v>6800</v>
      </c>
      <c r="D18" s="5">
        <v>2800</v>
      </c>
      <c r="E18" s="5">
        <v>1950</v>
      </c>
      <c r="F18" s="5">
        <v>3400</v>
      </c>
      <c r="H18" s="5">
        <f t="shared" si="0"/>
        <v>21200</v>
      </c>
    </row>
    <row r="19" spans="1:10" x14ac:dyDescent="0.35">
      <c r="A19" s="8">
        <v>45948</v>
      </c>
      <c r="B19" s="5">
        <v>8700</v>
      </c>
      <c r="C19" s="5">
        <v>2800</v>
      </c>
      <c r="D19" s="5">
        <v>3300</v>
      </c>
      <c r="E19" s="5">
        <v>1700</v>
      </c>
      <c r="F19" s="5">
        <v>9200</v>
      </c>
      <c r="H19" s="5">
        <f t="shared" si="0"/>
        <v>25700</v>
      </c>
    </row>
    <row r="20" spans="1:10" x14ac:dyDescent="0.35">
      <c r="A20" s="8">
        <v>45949</v>
      </c>
      <c r="B20" s="5">
        <v>8000</v>
      </c>
      <c r="C20" s="5">
        <v>5600</v>
      </c>
      <c r="D20" s="5">
        <v>3000</v>
      </c>
      <c r="E20" s="5">
        <v>2300</v>
      </c>
      <c r="F20" s="5">
        <v>6000</v>
      </c>
      <c r="H20" s="5">
        <f t="shared" si="0"/>
        <v>24900</v>
      </c>
    </row>
    <row r="21" spans="1:10" x14ac:dyDescent="0.35">
      <c r="A21" s="8">
        <v>45950</v>
      </c>
      <c r="B21" s="5">
        <v>9400</v>
      </c>
      <c r="C21" s="5">
        <v>3295</v>
      </c>
      <c r="D21" s="5">
        <v>3400</v>
      </c>
      <c r="E21" s="5">
        <v>800</v>
      </c>
      <c r="F21" s="5">
        <v>3600</v>
      </c>
      <c r="H21" s="5">
        <f t="shared" si="0"/>
        <v>20495</v>
      </c>
    </row>
    <row r="22" spans="1:10" x14ac:dyDescent="0.35">
      <c r="A22" s="8">
        <v>45951</v>
      </c>
      <c r="C22" s="5">
        <v>5000</v>
      </c>
      <c r="D22" s="5">
        <v>5624</v>
      </c>
      <c r="E22" s="5">
        <v>600</v>
      </c>
      <c r="F22" s="5">
        <v>5500</v>
      </c>
      <c r="H22" s="5">
        <f t="shared" si="0"/>
        <v>16724</v>
      </c>
    </row>
    <row r="23" spans="1:10" x14ac:dyDescent="0.35">
      <c r="A23" s="8">
        <v>45952</v>
      </c>
      <c r="B23" s="5">
        <v>6150</v>
      </c>
      <c r="C23" s="5">
        <v>3850</v>
      </c>
      <c r="D23" s="5">
        <v>4850</v>
      </c>
      <c r="E23" s="5">
        <v>1600</v>
      </c>
      <c r="F23" s="5">
        <v>7400</v>
      </c>
      <c r="H23" s="5">
        <f t="shared" si="0"/>
        <v>23850</v>
      </c>
    </row>
    <row r="24" spans="1:10" x14ac:dyDescent="0.35">
      <c r="A24" s="8">
        <v>45953</v>
      </c>
      <c r="C24" s="5">
        <v>7650</v>
      </c>
      <c r="D24" s="5">
        <v>6950</v>
      </c>
      <c r="E24" s="5">
        <v>1300</v>
      </c>
      <c r="F24" s="5">
        <v>4100</v>
      </c>
      <c r="H24" s="5">
        <f t="shared" si="0"/>
        <v>20000</v>
      </c>
    </row>
    <row r="25" spans="1:10" x14ac:dyDescent="0.35">
      <c r="A25" s="8">
        <v>45954</v>
      </c>
      <c r="B25" s="5">
        <v>6600</v>
      </c>
      <c r="C25" s="5">
        <v>4300</v>
      </c>
      <c r="D25" s="5">
        <v>2550</v>
      </c>
      <c r="E25" s="5">
        <v>1200</v>
      </c>
      <c r="F25" s="5">
        <v>5400</v>
      </c>
      <c r="H25" s="5">
        <f t="shared" si="0"/>
        <v>20050</v>
      </c>
    </row>
    <row r="26" spans="1:10" x14ac:dyDescent="0.35">
      <c r="A26" s="8">
        <v>45955</v>
      </c>
      <c r="B26" s="5">
        <v>6800</v>
      </c>
      <c r="C26" s="5">
        <v>3450</v>
      </c>
      <c r="E26" s="5">
        <v>3350</v>
      </c>
      <c r="F26" s="5">
        <v>3800</v>
      </c>
      <c r="H26" s="5">
        <f t="shared" si="0"/>
        <v>17400</v>
      </c>
      <c r="I26" s="5"/>
      <c r="J26" s="5"/>
    </row>
    <row r="27" spans="1:10" x14ac:dyDescent="0.35">
      <c r="A27" s="8">
        <v>45956</v>
      </c>
      <c r="C27" s="5">
        <v>4400</v>
      </c>
      <c r="D27" s="5">
        <v>4250</v>
      </c>
      <c r="E27" s="5">
        <v>1750</v>
      </c>
      <c r="F27" s="5">
        <v>6200</v>
      </c>
      <c r="H27" s="5">
        <f t="shared" si="0"/>
        <v>16600</v>
      </c>
    </row>
    <row r="28" spans="1:10" x14ac:dyDescent="0.35">
      <c r="A28" s="8">
        <v>45957</v>
      </c>
      <c r="B28" s="5">
        <v>8600</v>
      </c>
      <c r="C28" s="5">
        <v>2400</v>
      </c>
      <c r="D28" s="5">
        <v>3600</v>
      </c>
      <c r="E28" s="5">
        <v>1800</v>
      </c>
      <c r="F28" s="5">
        <v>8500</v>
      </c>
      <c r="H28" s="5">
        <f t="shared" si="0"/>
        <v>24900</v>
      </c>
    </row>
    <row r="29" spans="1:10" x14ac:dyDescent="0.35">
      <c r="A29" s="8">
        <v>45958</v>
      </c>
      <c r="B29" s="5">
        <v>6380</v>
      </c>
      <c r="C29" s="5">
        <v>6380</v>
      </c>
      <c r="D29" s="5">
        <v>3000</v>
      </c>
      <c r="E29" s="5">
        <v>1300</v>
      </c>
      <c r="F29" s="5">
        <v>3400</v>
      </c>
      <c r="H29" s="5">
        <f t="shared" si="0"/>
        <v>20460</v>
      </c>
    </row>
    <row r="30" spans="1:10" x14ac:dyDescent="0.35">
      <c r="A30" s="8">
        <v>45959</v>
      </c>
      <c r="D30" s="5">
        <v>8400</v>
      </c>
      <c r="E30" s="5">
        <v>6050</v>
      </c>
      <c r="F30" s="5">
        <v>4000</v>
      </c>
      <c r="G30" s="5">
        <v>500</v>
      </c>
      <c r="H30" s="5">
        <f t="shared" si="0"/>
        <v>18950</v>
      </c>
    </row>
    <row r="31" spans="1:10" x14ac:dyDescent="0.35">
      <c r="A31" s="8">
        <v>45960</v>
      </c>
      <c r="B31" s="5">
        <v>7550</v>
      </c>
      <c r="C31" s="5">
        <v>2500</v>
      </c>
      <c r="D31" s="5">
        <v>5100</v>
      </c>
      <c r="E31" s="5">
        <v>1600</v>
      </c>
      <c r="F31" s="5">
        <v>4300</v>
      </c>
      <c r="G31" s="5">
        <v>105</v>
      </c>
      <c r="H31" s="5">
        <f t="shared" si="0"/>
        <v>21155</v>
      </c>
    </row>
    <row r="32" spans="1:10" x14ac:dyDescent="0.35">
      <c r="A32" s="8">
        <v>45961</v>
      </c>
      <c r="B32" s="5">
        <v>7950</v>
      </c>
      <c r="C32" s="5">
        <v>2850</v>
      </c>
      <c r="D32" s="5">
        <v>1550</v>
      </c>
      <c r="E32" s="5">
        <v>2500</v>
      </c>
      <c r="F32" s="5">
        <v>5300</v>
      </c>
      <c r="H32" s="5">
        <f t="shared" si="0"/>
        <v>20150</v>
      </c>
    </row>
    <row r="33" spans="6:11" x14ac:dyDescent="0.35">
      <c r="H33" s="5">
        <f>SUM(H2:H32)</f>
        <v>619154</v>
      </c>
    </row>
    <row r="35" spans="6:11" x14ac:dyDescent="0.35">
      <c r="F35" s="5">
        <f>SUM(F2:F32)</f>
        <v>151075</v>
      </c>
    </row>
    <row r="38" spans="6:11" x14ac:dyDescent="0.35">
      <c r="K38" s="5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A32DB-935C-4BF8-BCCE-4A6E4FCA50D2}">
  <dimension ref="A1:J38"/>
  <sheetViews>
    <sheetView workbookViewId="0">
      <selection activeCell="E37" sqref="E37"/>
    </sheetView>
  </sheetViews>
  <sheetFormatPr defaultColWidth="8.81640625" defaultRowHeight="14.5" x14ac:dyDescent="0.35"/>
  <cols>
    <col min="1" max="1" width="13" style="2" customWidth="1"/>
    <col min="2" max="3" width="13" style="5" customWidth="1"/>
    <col min="4" max="4" width="17.36328125" style="5" customWidth="1"/>
    <col min="5" max="6" width="15.81640625" style="5" customWidth="1"/>
    <col min="7" max="7" width="14.81640625" style="5" customWidth="1"/>
  </cols>
  <sheetData>
    <row r="1" spans="1:7" s="3" customFormat="1" ht="15.5" x14ac:dyDescent="0.35">
      <c r="A1" s="3" t="s">
        <v>11</v>
      </c>
      <c r="B1" s="4" t="s">
        <v>20</v>
      </c>
      <c r="C1" s="4" t="s">
        <v>21</v>
      </c>
      <c r="D1" s="4" t="s">
        <v>22</v>
      </c>
      <c r="E1" s="4" t="s">
        <v>10</v>
      </c>
      <c r="F1" s="4" t="s">
        <v>15</v>
      </c>
      <c r="G1" s="4" t="s">
        <v>4</v>
      </c>
    </row>
    <row r="2" spans="1:7" x14ac:dyDescent="0.35">
      <c r="A2" s="2">
        <v>1.9</v>
      </c>
      <c r="D2" s="5">
        <v>6200</v>
      </c>
      <c r="E2" s="5">
        <v>5024</v>
      </c>
      <c r="G2" s="5">
        <f>SUM(B2:F2)</f>
        <v>11224</v>
      </c>
    </row>
    <row r="3" spans="1:7" x14ac:dyDescent="0.35">
      <c r="A3" s="2">
        <v>2.9</v>
      </c>
      <c r="D3" s="5">
        <v>20600</v>
      </c>
      <c r="E3" s="5">
        <v>1600</v>
      </c>
      <c r="G3" s="5">
        <f t="shared" ref="G3:G31" si="0">SUM(B3:F3)</f>
        <v>22200</v>
      </c>
    </row>
    <row r="4" spans="1:7" x14ac:dyDescent="0.35">
      <c r="A4" s="2">
        <v>3.9</v>
      </c>
      <c r="C4" s="5">
        <v>10000</v>
      </c>
      <c r="D4" s="5">
        <v>6700</v>
      </c>
      <c r="E4" s="5">
        <v>7400</v>
      </c>
      <c r="G4" s="5">
        <f t="shared" si="0"/>
        <v>24100</v>
      </c>
    </row>
    <row r="5" spans="1:7" x14ac:dyDescent="0.35">
      <c r="A5" s="2">
        <v>4.9000000000000004</v>
      </c>
      <c r="C5" s="5">
        <v>9850</v>
      </c>
      <c r="D5" s="5">
        <v>4350</v>
      </c>
      <c r="E5" s="5">
        <v>3200</v>
      </c>
      <c r="G5" s="5">
        <f t="shared" si="0"/>
        <v>17400</v>
      </c>
    </row>
    <row r="6" spans="1:7" x14ac:dyDescent="0.35">
      <c r="A6" s="2">
        <v>5.9</v>
      </c>
      <c r="B6" s="5">
        <v>7631</v>
      </c>
      <c r="C6" s="5">
        <v>3200</v>
      </c>
      <c r="D6" s="5">
        <v>4350</v>
      </c>
      <c r="E6" s="5">
        <v>3100</v>
      </c>
      <c r="G6" s="5">
        <f t="shared" si="0"/>
        <v>18281</v>
      </c>
    </row>
    <row r="7" spans="1:7" x14ac:dyDescent="0.35">
      <c r="A7" s="2">
        <v>6.9</v>
      </c>
      <c r="B7" s="5">
        <v>5500</v>
      </c>
      <c r="C7" s="5">
        <v>2700</v>
      </c>
      <c r="D7" s="5">
        <v>4550</v>
      </c>
      <c r="E7" s="5">
        <v>4400</v>
      </c>
      <c r="G7" s="5">
        <f t="shared" si="0"/>
        <v>17150</v>
      </c>
    </row>
    <row r="8" spans="1:7" x14ac:dyDescent="0.35">
      <c r="A8" s="2">
        <v>7.9</v>
      </c>
      <c r="B8" s="5">
        <v>6750</v>
      </c>
      <c r="C8" s="5">
        <v>3500</v>
      </c>
      <c r="D8" s="5">
        <v>2400</v>
      </c>
      <c r="E8" s="5">
        <v>4000</v>
      </c>
      <c r="G8" s="5">
        <f t="shared" si="0"/>
        <v>16650</v>
      </c>
    </row>
    <row r="9" spans="1:7" x14ac:dyDescent="0.35">
      <c r="A9" s="2">
        <v>8.9</v>
      </c>
      <c r="B9" s="5">
        <v>6515</v>
      </c>
      <c r="C9" s="5">
        <v>3131</v>
      </c>
      <c r="D9" s="5">
        <v>4100</v>
      </c>
      <c r="E9" s="5">
        <v>4800</v>
      </c>
      <c r="G9" s="5">
        <f t="shared" si="0"/>
        <v>18546</v>
      </c>
    </row>
    <row r="10" spans="1:7" x14ac:dyDescent="0.35">
      <c r="A10" s="2">
        <v>9.9</v>
      </c>
      <c r="C10" s="5">
        <v>8800</v>
      </c>
      <c r="D10" s="5">
        <v>2800</v>
      </c>
      <c r="E10" s="5">
        <v>6400</v>
      </c>
      <c r="G10" s="5">
        <f t="shared" si="0"/>
        <v>18000</v>
      </c>
    </row>
    <row r="11" spans="1:7" x14ac:dyDescent="0.35">
      <c r="A11" s="2">
        <v>10.9</v>
      </c>
      <c r="B11" s="5">
        <v>7600</v>
      </c>
      <c r="C11" s="5">
        <v>2400</v>
      </c>
      <c r="D11" s="5">
        <v>4800</v>
      </c>
      <c r="E11" s="5">
        <v>2400</v>
      </c>
      <c r="G11" s="5">
        <f t="shared" si="0"/>
        <v>17200</v>
      </c>
    </row>
    <row r="12" spans="1:7" x14ac:dyDescent="0.35">
      <c r="A12" s="2">
        <v>11.9</v>
      </c>
      <c r="C12" s="5">
        <v>8200</v>
      </c>
      <c r="D12" s="5">
        <v>3400</v>
      </c>
      <c r="E12" s="5">
        <v>3800</v>
      </c>
      <c r="F12" s="5">
        <v>577</v>
      </c>
      <c r="G12" s="5">
        <f t="shared" si="0"/>
        <v>15977</v>
      </c>
    </row>
    <row r="13" spans="1:7" x14ac:dyDescent="0.35">
      <c r="A13" s="2">
        <v>12.9</v>
      </c>
      <c r="C13" s="5">
        <v>10150</v>
      </c>
      <c r="D13" s="5">
        <v>5500</v>
      </c>
      <c r="E13" s="5">
        <v>6000</v>
      </c>
      <c r="G13" s="5">
        <f t="shared" si="0"/>
        <v>21650</v>
      </c>
    </row>
    <row r="14" spans="1:7" x14ac:dyDescent="0.35">
      <c r="A14" s="2">
        <v>13.9</v>
      </c>
      <c r="C14" s="5">
        <v>7000</v>
      </c>
      <c r="D14" s="5">
        <v>6300</v>
      </c>
      <c r="E14" s="5">
        <v>4000</v>
      </c>
      <c r="G14" s="5">
        <f t="shared" si="0"/>
        <v>17300</v>
      </c>
    </row>
    <row r="15" spans="1:7" x14ac:dyDescent="0.35">
      <c r="A15" s="2">
        <v>14.9</v>
      </c>
      <c r="C15" s="5">
        <v>4300</v>
      </c>
      <c r="D15" s="5">
        <v>6500</v>
      </c>
      <c r="E15" s="5">
        <v>6753</v>
      </c>
      <c r="G15" s="5">
        <f t="shared" si="0"/>
        <v>17553</v>
      </c>
    </row>
    <row r="16" spans="1:7" x14ac:dyDescent="0.35">
      <c r="A16" s="2">
        <v>15.9</v>
      </c>
      <c r="C16" s="5">
        <v>9900</v>
      </c>
      <c r="D16" s="5">
        <v>6300</v>
      </c>
      <c r="E16" s="5">
        <v>5754</v>
      </c>
      <c r="G16" s="5">
        <f t="shared" si="0"/>
        <v>21954</v>
      </c>
    </row>
    <row r="17" spans="1:9" x14ac:dyDescent="0.35">
      <c r="A17" s="2">
        <v>16.899999999999999</v>
      </c>
      <c r="B17" s="5">
        <v>256</v>
      </c>
      <c r="C17" s="5">
        <v>10150</v>
      </c>
      <c r="D17" s="5">
        <v>2800</v>
      </c>
      <c r="E17" s="5">
        <v>3830</v>
      </c>
      <c r="G17" s="5">
        <f t="shared" si="0"/>
        <v>17036</v>
      </c>
    </row>
    <row r="18" spans="1:9" x14ac:dyDescent="0.35">
      <c r="A18" s="2">
        <v>17.899999999999999</v>
      </c>
      <c r="B18" s="5">
        <v>301</v>
      </c>
      <c r="C18" s="5">
        <v>10000</v>
      </c>
      <c r="D18" s="5">
        <v>5000</v>
      </c>
      <c r="E18" s="5">
        <v>4700</v>
      </c>
      <c r="G18" s="5">
        <f t="shared" si="0"/>
        <v>20001</v>
      </c>
    </row>
    <row r="19" spans="1:9" x14ac:dyDescent="0.35">
      <c r="A19" s="2">
        <v>18.899999999999999</v>
      </c>
      <c r="B19" s="5">
        <v>4800</v>
      </c>
      <c r="C19" s="5">
        <v>3100</v>
      </c>
      <c r="D19" s="5">
        <v>2800</v>
      </c>
      <c r="E19" s="5">
        <v>3000</v>
      </c>
      <c r="G19" s="5">
        <f t="shared" si="0"/>
        <v>13700</v>
      </c>
    </row>
    <row r="20" spans="1:9" x14ac:dyDescent="0.35">
      <c r="A20" s="2">
        <v>19.899999999999999</v>
      </c>
      <c r="C20" s="5">
        <v>10000</v>
      </c>
      <c r="D20" s="5">
        <v>4400</v>
      </c>
      <c r="E20" s="5">
        <v>5700</v>
      </c>
      <c r="G20" s="5">
        <f t="shared" si="0"/>
        <v>20100</v>
      </c>
    </row>
    <row r="21" spans="1:9" x14ac:dyDescent="0.35">
      <c r="A21" s="2">
        <v>20.9</v>
      </c>
      <c r="B21" s="5">
        <v>4200</v>
      </c>
      <c r="C21" s="5">
        <v>6700</v>
      </c>
      <c r="D21" s="5">
        <v>1700</v>
      </c>
      <c r="E21" s="5">
        <v>2900</v>
      </c>
      <c r="G21" s="5">
        <f t="shared" si="0"/>
        <v>15500</v>
      </c>
    </row>
    <row r="22" spans="1:9" x14ac:dyDescent="0.35">
      <c r="A22" s="2">
        <v>21.9</v>
      </c>
      <c r="C22" s="5">
        <v>8400</v>
      </c>
      <c r="D22" s="5">
        <v>4300</v>
      </c>
      <c r="E22" s="5">
        <v>5242</v>
      </c>
      <c r="G22" s="5">
        <f t="shared" si="0"/>
        <v>17942</v>
      </c>
    </row>
    <row r="23" spans="1:9" x14ac:dyDescent="0.35">
      <c r="A23" s="2">
        <v>22.9</v>
      </c>
      <c r="C23" s="5">
        <v>5000</v>
      </c>
      <c r="D23" s="5">
        <v>2000</v>
      </c>
      <c r="E23" s="5">
        <v>3449</v>
      </c>
      <c r="G23" s="5">
        <f t="shared" si="0"/>
        <v>10449</v>
      </c>
    </row>
    <row r="24" spans="1:9" x14ac:dyDescent="0.35">
      <c r="A24" s="2">
        <v>23.9</v>
      </c>
      <c r="C24" s="5">
        <v>13900</v>
      </c>
      <c r="D24" s="5">
        <v>5700</v>
      </c>
      <c r="E24" s="5">
        <v>4700</v>
      </c>
      <c r="G24" s="5">
        <f t="shared" si="0"/>
        <v>24300</v>
      </c>
    </row>
    <row r="25" spans="1:9" x14ac:dyDescent="0.35">
      <c r="A25" s="2">
        <v>24.9</v>
      </c>
      <c r="B25" s="5">
        <v>8000</v>
      </c>
      <c r="C25" s="5">
        <v>4400</v>
      </c>
      <c r="D25" s="5">
        <v>1100</v>
      </c>
      <c r="E25" s="5">
        <v>5900</v>
      </c>
      <c r="G25" s="5">
        <f t="shared" si="0"/>
        <v>19400</v>
      </c>
    </row>
    <row r="26" spans="1:9" x14ac:dyDescent="0.35">
      <c r="A26" s="2">
        <v>25.9</v>
      </c>
      <c r="B26" s="5">
        <v>8550</v>
      </c>
      <c r="C26" s="5">
        <v>2600</v>
      </c>
      <c r="D26" s="5">
        <v>3400</v>
      </c>
      <c r="E26" s="5">
        <v>4653</v>
      </c>
      <c r="G26" s="5">
        <f t="shared" si="0"/>
        <v>19203</v>
      </c>
      <c r="H26" s="5"/>
      <c r="I26" s="5"/>
    </row>
    <row r="27" spans="1:9" x14ac:dyDescent="0.35">
      <c r="A27" s="2">
        <v>26.9</v>
      </c>
      <c r="C27" s="5">
        <v>10200</v>
      </c>
      <c r="D27" s="5">
        <v>3050</v>
      </c>
      <c r="E27" s="5">
        <v>4620</v>
      </c>
      <c r="G27" s="5">
        <f t="shared" si="0"/>
        <v>17870</v>
      </c>
    </row>
    <row r="28" spans="1:9" x14ac:dyDescent="0.35">
      <c r="A28" s="2">
        <v>27.9</v>
      </c>
      <c r="B28" s="5">
        <v>5520</v>
      </c>
      <c r="C28" s="5">
        <v>7650</v>
      </c>
      <c r="D28" s="5">
        <v>900</v>
      </c>
      <c r="E28" s="5">
        <v>6400</v>
      </c>
      <c r="G28" s="5">
        <f t="shared" si="0"/>
        <v>20470</v>
      </c>
    </row>
    <row r="29" spans="1:9" x14ac:dyDescent="0.35">
      <c r="A29" s="2">
        <v>28.9</v>
      </c>
      <c r="C29" s="5">
        <v>8800</v>
      </c>
      <c r="D29" s="5">
        <v>4300</v>
      </c>
      <c r="E29" s="5">
        <v>5300</v>
      </c>
      <c r="G29" s="5">
        <f t="shared" si="0"/>
        <v>18400</v>
      </c>
    </row>
    <row r="30" spans="1:9" x14ac:dyDescent="0.35">
      <c r="A30" s="2">
        <v>29.9</v>
      </c>
      <c r="D30" s="5">
        <v>12334</v>
      </c>
      <c r="E30" s="5">
        <v>3103</v>
      </c>
      <c r="G30" s="5">
        <f t="shared" si="0"/>
        <v>15437</v>
      </c>
    </row>
    <row r="31" spans="1:9" x14ac:dyDescent="0.35">
      <c r="A31" s="2">
        <v>30.9</v>
      </c>
      <c r="B31" s="5">
        <v>6090</v>
      </c>
      <c r="C31" s="5">
        <v>8249</v>
      </c>
      <c r="D31" s="5">
        <v>1800</v>
      </c>
      <c r="E31" s="5">
        <v>3500</v>
      </c>
      <c r="G31" s="5">
        <f t="shared" si="0"/>
        <v>19639</v>
      </c>
    </row>
    <row r="32" spans="1:9" x14ac:dyDescent="0.35">
      <c r="G32" s="5">
        <f>SUM(G2:G31)</f>
        <v>544632</v>
      </c>
    </row>
    <row r="33" spans="5:10" x14ac:dyDescent="0.35">
      <c r="E33" s="5">
        <f>SUM(E2:E31)</f>
        <v>135628</v>
      </c>
    </row>
    <row r="38" spans="5:10" x14ac:dyDescent="0.35">
      <c r="J38" s="5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DE2B8-7E86-4D94-B75E-1C734DF9F873}">
  <dimension ref="A1:J39"/>
  <sheetViews>
    <sheetView workbookViewId="0">
      <selection activeCell="B44" sqref="B44"/>
    </sheetView>
  </sheetViews>
  <sheetFormatPr defaultColWidth="8.81640625" defaultRowHeight="14.5" x14ac:dyDescent="0.35"/>
  <cols>
    <col min="1" max="1" width="13" style="2" customWidth="1"/>
    <col min="2" max="3" width="13" style="5" customWidth="1"/>
    <col min="4" max="4" width="17.36328125" style="5" customWidth="1"/>
    <col min="5" max="6" width="15.81640625" style="5" customWidth="1"/>
    <col min="7" max="7" width="14.81640625" style="5" customWidth="1"/>
  </cols>
  <sheetData>
    <row r="1" spans="1:7" s="3" customFormat="1" ht="15.5" x14ac:dyDescent="0.35">
      <c r="A1" s="3" t="s">
        <v>11</v>
      </c>
      <c r="B1" s="4" t="s">
        <v>20</v>
      </c>
      <c r="C1" s="4" t="s">
        <v>21</v>
      </c>
      <c r="D1" s="4" t="s">
        <v>22</v>
      </c>
      <c r="E1" s="4" t="s">
        <v>10</v>
      </c>
      <c r="F1" s="4" t="s">
        <v>15</v>
      </c>
      <c r="G1" s="4" t="s">
        <v>4</v>
      </c>
    </row>
    <row r="2" spans="1:7" x14ac:dyDescent="0.35">
      <c r="A2" s="2">
        <v>1.8</v>
      </c>
      <c r="D2" s="5">
        <v>15500</v>
      </c>
      <c r="E2" s="5">
        <v>2775</v>
      </c>
      <c r="G2" s="5">
        <f>SUM(C2:F2)</f>
        <v>18275</v>
      </c>
    </row>
    <row r="3" spans="1:7" x14ac:dyDescent="0.35">
      <c r="A3" s="2">
        <v>2.8</v>
      </c>
      <c r="C3" s="5">
        <v>7100</v>
      </c>
      <c r="D3" s="5">
        <v>4300</v>
      </c>
      <c r="E3" s="5">
        <v>5558</v>
      </c>
      <c r="G3" s="5">
        <f>SUM(C3:F3)</f>
        <v>16958</v>
      </c>
    </row>
    <row r="4" spans="1:7" x14ac:dyDescent="0.35">
      <c r="A4" s="2">
        <v>3.8</v>
      </c>
      <c r="C4" s="5">
        <v>4400</v>
      </c>
      <c r="D4" s="5">
        <v>8700</v>
      </c>
      <c r="E4" s="5">
        <v>6864</v>
      </c>
      <c r="G4" s="5">
        <f>SUM(C4:F4)</f>
        <v>19964</v>
      </c>
    </row>
    <row r="5" spans="1:7" x14ac:dyDescent="0.35">
      <c r="A5" s="2">
        <v>4.8</v>
      </c>
      <c r="D5" s="5">
        <v>9600</v>
      </c>
      <c r="E5" s="5">
        <v>4601</v>
      </c>
      <c r="F5" s="5">
        <v>2790</v>
      </c>
      <c r="G5" s="5">
        <f t="shared" ref="G5:G32" si="0">SUM(C5:F5)</f>
        <v>16991</v>
      </c>
    </row>
    <row r="6" spans="1:7" x14ac:dyDescent="0.35">
      <c r="A6" s="2">
        <v>5.8</v>
      </c>
      <c r="C6" s="5">
        <v>8000</v>
      </c>
      <c r="D6" s="5">
        <v>5800</v>
      </c>
      <c r="E6" s="5">
        <v>2529</v>
      </c>
      <c r="F6" s="5">
        <v>260</v>
      </c>
      <c r="G6" s="5">
        <f t="shared" si="0"/>
        <v>16589</v>
      </c>
    </row>
    <row r="7" spans="1:7" x14ac:dyDescent="0.35">
      <c r="A7" s="2">
        <v>6.8</v>
      </c>
      <c r="D7" s="5">
        <v>16300</v>
      </c>
      <c r="E7" s="5">
        <v>2134</v>
      </c>
      <c r="F7" s="5">
        <v>318</v>
      </c>
      <c r="G7" s="5">
        <f t="shared" si="0"/>
        <v>18752</v>
      </c>
    </row>
    <row r="8" spans="1:7" x14ac:dyDescent="0.35">
      <c r="A8" s="2">
        <v>7.8</v>
      </c>
      <c r="C8" s="5">
        <v>6350</v>
      </c>
      <c r="D8" s="5">
        <v>4800</v>
      </c>
      <c r="E8" s="5">
        <v>4508</v>
      </c>
      <c r="F8" s="5">
        <v>368</v>
      </c>
      <c r="G8" s="5">
        <f t="shared" si="0"/>
        <v>16026</v>
      </c>
    </row>
    <row r="9" spans="1:7" x14ac:dyDescent="0.35">
      <c r="A9" s="2">
        <v>8.8000000000000007</v>
      </c>
      <c r="D9" s="5">
        <v>9200</v>
      </c>
      <c r="E9" s="5">
        <v>3486</v>
      </c>
      <c r="G9" s="5">
        <f t="shared" si="0"/>
        <v>12686</v>
      </c>
    </row>
    <row r="10" spans="1:7" x14ac:dyDescent="0.35">
      <c r="A10" s="2">
        <v>9.8000000000000007</v>
      </c>
      <c r="C10" s="5">
        <v>11400</v>
      </c>
      <c r="D10" s="5">
        <v>2600</v>
      </c>
      <c r="E10" s="5">
        <v>5345</v>
      </c>
      <c r="G10" s="5">
        <f t="shared" si="0"/>
        <v>19345</v>
      </c>
    </row>
    <row r="11" spans="1:7" x14ac:dyDescent="0.35">
      <c r="A11" s="2">
        <v>10.8</v>
      </c>
      <c r="D11" s="5">
        <v>14900</v>
      </c>
      <c r="E11" s="5">
        <v>3998</v>
      </c>
      <c r="G11" s="5">
        <f t="shared" si="0"/>
        <v>18898</v>
      </c>
    </row>
    <row r="12" spans="1:7" x14ac:dyDescent="0.35">
      <c r="A12" s="2">
        <v>11.8</v>
      </c>
      <c r="B12" s="5">
        <v>9100</v>
      </c>
      <c r="C12" s="5">
        <v>7100</v>
      </c>
      <c r="D12" s="5">
        <v>1600</v>
      </c>
      <c r="E12" s="5">
        <v>6100</v>
      </c>
      <c r="G12" s="5">
        <f t="shared" si="0"/>
        <v>14800</v>
      </c>
    </row>
    <row r="13" spans="1:7" x14ac:dyDescent="0.35">
      <c r="A13" s="2">
        <v>12.8</v>
      </c>
      <c r="C13" s="5">
        <v>12400</v>
      </c>
      <c r="D13" s="5">
        <v>1250</v>
      </c>
      <c r="E13" s="5">
        <v>3660</v>
      </c>
      <c r="F13" s="5">
        <v>707</v>
      </c>
      <c r="G13" s="5">
        <f t="shared" si="0"/>
        <v>18017</v>
      </c>
    </row>
    <row r="14" spans="1:7" x14ac:dyDescent="0.35">
      <c r="A14" s="2">
        <v>13.8</v>
      </c>
      <c r="C14" s="5">
        <v>13252</v>
      </c>
      <c r="D14" s="5">
        <v>2600</v>
      </c>
      <c r="E14" s="5">
        <v>3322</v>
      </c>
      <c r="F14" s="5">
        <v>106</v>
      </c>
      <c r="G14" s="5">
        <f t="shared" si="0"/>
        <v>19280</v>
      </c>
    </row>
    <row r="15" spans="1:7" x14ac:dyDescent="0.35">
      <c r="A15" s="2">
        <v>14.8</v>
      </c>
      <c r="C15" s="5">
        <v>9600</v>
      </c>
      <c r="D15" s="5">
        <v>7300</v>
      </c>
      <c r="E15" s="5">
        <v>4500</v>
      </c>
      <c r="G15" s="5">
        <f t="shared" si="0"/>
        <v>21400</v>
      </c>
    </row>
    <row r="16" spans="1:7" x14ac:dyDescent="0.35">
      <c r="A16" s="2">
        <v>15.8</v>
      </c>
      <c r="C16" s="5">
        <v>8500</v>
      </c>
      <c r="D16" s="5">
        <v>5500</v>
      </c>
      <c r="E16" s="5">
        <v>6501</v>
      </c>
      <c r="F16" s="5">
        <v>853</v>
      </c>
      <c r="G16" s="5">
        <f t="shared" si="0"/>
        <v>21354</v>
      </c>
    </row>
    <row r="17" spans="1:9" x14ac:dyDescent="0.35">
      <c r="A17" s="2">
        <v>16.8</v>
      </c>
      <c r="D17" s="5">
        <v>10000</v>
      </c>
      <c r="E17" s="5">
        <v>4691</v>
      </c>
      <c r="G17" s="5">
        <f t="shared" si="0"/>
        <v>14691</v>
      </c>
    </row>
    <row r="18" spans="1:9" x14ac:dyDescent="0.35">
      <c r="A18" s="2">
        <v>17.8</v>
      </c>
      <c r="C18" s="5">
        <v>9900</v>
      </c>
      <c r="D18" s="5">
        <v>1800</v>
      </c>
      <c r="E18" s="5">
        <v>3373</v>
      </c>
      <c r="G18" s="5">
        <f t="shared" si="0"/>
        <v>15073</v>
      </c>
    </row>
    <row r="19" spans="1:9" x14ac:dyDescent="0.35">
      <c r="A19" s="2">
        <v>18.8</v>
      </c>
      <c r="C19" s="5">
        <v>7200</v>
      </c>
      <c r="D19" s="5">
        <v>7200</v>
      </c>
      <c r="E19" s="5">
        <v>6476</v>
      </c>
      <c r="F19" s="5">
        <v>500</v>
      </c>
      <c r="G19" s="5">
        <f t="shared" si="0"/>
        <v>21376</v>
      </c>
    </row>
    <row r="20" spans="1:9" x14ac:dyDescent="0.35">
      <c r="A20" s="2">
        <v>19.8</v>
      </c>
      <c r="C20" s="5">
        <v>9600</v>
      </c>
      <c r="D20" s="5">
        <v>2350</v>
      </c>
      <c r="E20" s="5">
        <v>3808</v>
      </c>
      <c r="G20" s="5">
        <f t="shared" si="0"/>
        <v>15758</v>
      </c>
    </row>
    <row r="21" spans="1:9" x14ac:dyDescent="0.35">
      <c r="A21" s="2">
        <v>20.8</v>
      </c>
      <c r="C21" s="5">
        <v>8100</v>
      </c>
      <c r="D21" s="5">
        <v>3950</v>
      </c>
      <c r="E21" s="5">
        <v>3393</v>
      </c>
      <c r="G21" s="5">
        <f t="shared" si="0"/>
        <v>15443</v>
      </c>
    </row>
    <row r="22" spans="1:9" x14ac:dyDescent="0.35">
      <c r="A22" s="2">
        <v>21.8</v>
      </c>
      <c r="C22" s="5">
        <v>10300</v>
      </c>
      <c r="D22" s="5">
        <v>4300</v>
      </c>
      <c r="E22" s="5">
        <v>7096</v>
      </c>
      <c r="F22" s="5">
        <v>1725</v>
      </c>
      <c r="G22" s="5">
        <f t="shared" si="0"/>
        <v>23421</v>
      </c>
    </row>
    <row r="23" spans="1:9" x14ac:dyDescent="0.35">
      <c r="A23" s="2">
        <v>22.8</v>
      </c>
      <c r="D23" s="5">
        <v>17300</v>
      </c>
      <c r="E23" s="5">
        <v>7161</v>
      </c>
      <c r="G23" s="5">
        <f t="shared" si="0"/>
        <v>24461</v>
      </c>
    </row>
    <row r="24" spans="1:9" x14ac:dyDescent="0.35">
      <c r="A24" s="2">
        <v>23.8</v>
      </c>
      <c r="D24" s="5">
        <v>16800</v>
      </c>
      <c r="E24" s="5">
        <v>7712</v>
      </c>
      <c r="G24" s="5">
        <f t="shared" si="0"/>
        <v>24512</v>
      </c>
    </row>
    <row r="25" spans="1:9" x14ac:dyDescent="0.35">
      <c r="A25" s="2">
        <v>24.8</v>
      </c>
      <c r="D25" s="5">
        <v>15100</v>
      </c>
      <c r="E25" s="5">
        <v>3797</v>
      </c>
      <c r="G25" s="5">
        <f t="shared" si="0"/>
        <v>18897</v>
      </c>
    </row>
    <row r="26" spans="1:9" x14ac:dyDescent="0.35">
      <c r="A26" s="2">
        <v>25.8</v>
      </c>
      <c r="D26" s="5">
        <v>12100</v>
      </c>
      <c r="E26" s="5">
        <v>7644</v>
      </c>
      <c r="G26" s="5">
        <f t="shared" si="0"/>
        <v>19744</v>
      </c>
      <c r="H26" s="5"/>
      <c r="I26" s="5"/>
    </row>
    <row r="27" spans="1:9" x14ac:dyDescent="0.35">
      <c r="A27" s="2">
        <v>26.8</v>
      </c>
      <c r="D27" s="5">
        <v>14600</v>
      </c>
      <c r="E27" s="5">
        <v>5050</v>
      </c>
      <c r="G27" s="5">
        <f t="shared" si="0"/>
        <v>19650</v>
      </c>
    </row>
    <row r="28" spans="1:9" x14ac:dyDescent="0.35">
      <c r="A28" s="2">
        <v>27.8</v>
      </c>
      <c r="C28" s="5">
        <v>7300</v>
      </c>
      <c r="D28" s="5">
        <v>3200</v>
      </c>
      <c r="E28" s="5">
        <v>6197</v>
      </c>
      <c r="G28" s="5">
        <f t="shared" si="0"/>
        <v>16697</v>
      </c>
    </row>
    <row r="29" spans="1:9" x14ac:dyDescent="0.35">
      <c r="A29" s="2">
        <v>28.8</v>
      </c>
      <c r="D29" s="5">
        <v>15300</v>
      </c>
      <c r="E29" s="5">
        <v>8341</v>
      </c>
      <c r="G29" s="5">
        <f t="shared" si="0"/>
        <v>23641</v>
      </c>
    </row>
    <row r="30" spans="1:9" x14ac:dyDescent="0.35">
      <c r="A30" s="2">
        <v>29.8</v>
      </c>
      <c r="D30" s="5">
        <v>12100</v>
      </c>
      <c r="E30" s="5">
        <v>6090</v>
      </c>
      <c r="G30" s="5">
        <f t="shared" si="0"/>
        <v>18190</v>
      </c>
    </row>
    <row r="31" spans="1:9" x14ac:dyDescent="0.35">
      <c r="A31" s="2">
        <v>30.8</v>
      </c>
      <c r="D31" s="5">
        <v>6900</v>
      </c>
      <c r="E31" s="5">
        <v>4808</v>
      </c>
      <c r="G31" s="5">
        <f t="shared" si="0"/>
        <v>11708</v>
      </c>
    </row>
    <row r="32" spans="1:9" x14ac:dyDescent="0.35">
      <c r="A32" s="2">
        <v>31.8</v>
      </c>
      <c r="D32" s="5">
        <v>22900</v>
      </c>
      <c r="E32" s="5">
        <v>2166</v>
      </c>
      <c r="G32" s="5">
        <f t="shared" si="0"/>
        <v>25066</v>
      </c>
    </row>
    <row r="33" spans="7:10" x14ac:dyDescent="0.35">
      <c r="G33" s="5">
        <f>SUM(G2:G32)</f>
        <v>577663</v>
      </c>
    </row>
    <row r="39" spans="7:10" x14ac:dyDescent="0.35">
      <c r="J39" s="5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72383-AC51-4CCC-9732-D15AA1A3FD2C}">
  <dimension ref="A1:J39"/>
  <sheetViews>
    <sheetView workbookViewId="0">
      <selection activeCell="G22" sqref="G22"/>
    </sheetView>
  </sheetViews>
  <sheetFormatPr defaultColWidth="8.81640625" defaultRowHeight="14.5" x14ac:dyDescent="0.35"/>
  <cols>
    <col min="1" max="1" width="13" style="2" customWidth="1"/>
    <col min="2" max="3" width="13" style="5" customWidth="1"/>
    <col min="4" max="4" width="17.36328125" style="5" customWidth="1"/>
    <col min="5" max="6" width="15.81640625" style="5" customWidth="1"/>
    <col min="7" max="7" width="14.81640625" style="5" customWidth="1"/>
  </cols>
  <sheetData>
    <row r="1" spans="1:7" s="3" customFormat="1" ht="15.5" x14ac:dyDescent="0.35">
      <c r="A1" s="3" t="s">
        <v>11</v>
      </c>
      <c r="B1" s="4" t="s">
        <v>20</v>
      </c>
      <c r="C1" s="4" t="s">
        <v>21</v>
      </c>
      <c r="D1" s="4" t="s">
        <v>22</v>
      </c>
      <c r="E1" s="4" t="s">
        <v>10</v>
      </c>
      <c r="F1" s="4" t="s">
        <v>15</v>
      </c>
      <c r="G1" s="4" t="s">
        <v>4</v>
      </c>
    </row>
    <row r="2" spans="1:7" x14ac:dyDescent="0.35">
      <c r="A2" s="2">
        <v>1.7</v>
      </c>
      <c r="D2" s="5">
        <v>11200</v>
      </c>
      <c r="E2" s="5">
        <v>5126</v>
      </c>
      <c r="G2" s="5">
        <f>SUM(D2:F2)</f>
        <v>16326</v>
      </c>
    </row>
    <row r="3" spans="1:7" x14ac:dyDescent="0.35">
      <c r="A3" s="2">
        <v>2.7</v>
      </c>
      <c r="D3" s="5">
        <v>11900</v>
      </c>
      <c r="E3" s="5">
        <v>2638</v>
      </c>
      <c r="F3" s="5">
        <v>1885</v>
      </c>
      <c r="G3" s="5">
        <f t="shared" ref="G3:G21" si="0">SUM(D3:F3)</f>
        <v>16423</v>
      </c>
    </row>
    <row r="4" spans="1:7" x14ac:dyDescent="0.35">
      <c r="A4" s="2">
        <v>3.7</v>
      </c>
      <c r="D4" s="5">
        <v>6600</v>
      </c>
      <c r="E4" s="5">
        <v>2148</v>
      </c>
      <c r="G4" s="5">
        <f t="shared" si="0"/>
        <v>8748</v>
      </c>
    </row>
    <row r="5" spans="1:7" x14ac:dyDescent="0.35">
      <c r="A5" s="2">
        <v>4.7</v>
      </c>
      <c r="D5" s="5">
        <v>10500</v>
      </c>
      <c r="E5" s="5">
        <v>4267</v>
      </c>
      <c r="G5" s="5">
        <f t="shared" si="0"/>
        <v>14767</v>
      </c>
    </row>
    <row r="6" spans="1:7" x14ac:dyDescent="0.35">
      <c r="A6" s="2">
        <v>5.7</v>
      </c>
      <c r="D6" s="5">
        <v>12200</v>
      </c>
      <c r="E6" s="5">
        <v>4050</v>
      </c>
      <c r="F6" s="5">
        <v>824</v>
      </c>
      <c r="G6" s="5">
        <f t="shared" si="0"/>
        <v>17074</v>
      </c>
    </row>
    <row r="7" spans="1:7" x14ac:dyDescent="0.35">
      <c r="A7" s="2">
        <v>6.7</v>
      </c>
      <c r="D7" s="5">
        <v>15500</v>
      </c>
      <c r="E7" s="5">
        <v>4119</v>
      </c>
      <c r="G7" s="5">
        <f t="shared" si="0"/>
        <v>19619</v>
      </c>
    </row>
    <row r="8" spans="1:7" x14ac:dyDescent="0.35">
      <c r="A8" s="2">
        <v>7.7</v>
      </c>
      <c r="D8" s="5">
        <v>10100</v>
      </c>
      <c r="E8" s="5">
        <v>5834</v>
      </c>
      <c r="F8" s="5">
        <v>1195</v>
      </c>
      <c r="G8" s="5">
        <f t="shared" si="0"/>
        <v>17129</v>
      </c>
    </row>
    <row r="9" spans="1:7" x14ac:dyDescent="0.35">
      <c r="A9" s="2">
        <v>8.6999999999999993</v>
      </c>
      <c r="D9" s="5">
        <v>8700</v>
      </c>
      <c r="E9" s="5">
        <v>4000</v>
      </c>
      <c r="F9" s="5">
        <v>1240</v>
      </c>
      <c r="G9" s="5">
        <f t="shared" si="0"/>
        <v>13940</v>
      </c>
    </row>
    <row r="10" spans="1:7" x14ac:dyDescent="0.35">
      <c r="A10" s="2">
        <v>9.6999999999999993</v>
      </c>
      <c r="E10" s="5">
        <v>3721</v>
      </c>
      <c r="G10" s="5">
        <v>21000</v>
      </c>
    </row>
    <row r="11" spans="1:7" x14ac:dyDescent="0.35">
      <c r="A11" s="2">
        <v>10.7</v>
      </c>
      <c r="D11" s="5">
        <v>15400</v>
      </c>
      <c r="E11" s="5">
        <v>4371</v>
      </c>
      <c r="F11" s="5">
        <v>510</v>
      </c>
      <c r="G11" s="5">
        <f t="shared" si="0"/>
        <v>20281</v>
      </c>
    </row>
    <row r="12" spans="1:7" x14ac:dyDescent="0.35">
      <c r="A12" s="2">
        <v>11.7</v>
      </c>
      <c r="D12" s="5">
        <v>11600</v>
      </c>
      <c r="E12" s="5">
        <v>2853</v>
      </c>
      <c r="F12" s="5">
        <v>200</v>
      </c>
      <c r="G12" s="5">
        <f t="shared" si="0"/>
        <v>14653</v>
      </c>
    </row>
    <row r="13" spans="1:7" x14ac:dyDescent="0.35">
      <c r="A13" s="2">
        <v>12.7</v>
      </c>
      <c r="D13" s="5">
        <v>11300</v>
      </c>
      <c r="E13" s="5">
        <v>3405</v>
      </c>
      <c r="F13" s="5">
        <v>500</v>
      </c>
      <c r="G13" s="5">
        <f t="shared" si="0"/>
        <v>15205</v>
      </c>
    </row>
    <row r="14" spans="1:7" x14ac:dyDescent="0.35">
      <c r="A14" s="2">
        <v>13.7</v>
      </c>
      <c r="D14" s="5">
        <v>12500</v>
      </c>
      <c r="E14" s="5">
        <v>2438</v>
      </c>
      <c r="G14" s="5">
        <f t="shared" si="0"/>
        <v>14938</v>
      </c>
    </row>
    <row r="15" spans="1:7" x14ac:dyDescent="0.35">
      <c r="A15" s="2">
        <v>14.7</v>
      </c>
      <c r="D15" s="5">
        <v>13850</v>
      </c>
      <c r="E15" s="5">
        <v>3914</v>
      </c>
      <c r="G15" s="5">
        <f t="shared" si="0"/>
        <v>17764</v>
      </c>
    </row>
    <row r="16" spans="1:7" x14ac:dyDescent="0.35">
      <c r="A16" s="2">
        <v>15.7</v>
      </c>
      <c r="D16" s="5">
        <v>13250</v>
      </c>
      <c r="E16" s="5">
        <v>3880</v>
      </c>
      <c r="G16" s="5">
        <f t="shared" si="0"/>
        <v>17130</v>
      </c>
    </row>
    <row r="17" spans="1:9" x14ac:dyDescent="0.35">
      <c r="A17" s="2">
        <v>16.7</v>
      </c>
      <c r="D17" s="5">
        <v>14100</v>
      </c>
      <c r="E17" s="5">
        <v>5091</v>
      </c>
      <c r="F17" s="5">
        <v>420</v>
      </c>
      <c r="G17" s="5">
        <f t="shared" si="0"/>
        <v>19611</v>
      </c>
    </row>
    <row r="18" spans="1:9" x14ac:dyDescent="0.35">
      <c r="A18" s="2">
        <v>17.7</v>
      </c>
      <c r="D18" s="5">
        <v>11200</v>
      </c>
      <c r="E18" s="5">
        <v>4465</v>
      </c>
      <c r="F18" s="5">
        <v>294</v>
      </c>
      <c r="G18" s="5">
        <f t="shared" si="0"/>
        <v>15959</v>
      </c>
    </row>
    <row r="19" spans="1:9" x14ac:dyDescent="0.35">
      <c r="A19" s="2">
        <v>18.7</v>
      </c>
      <c r="D19" s="5">
        <v>13200</v>
      </c>
      <c r="E19" s="5">
        <v>4018</v>
      </c>
      <c r="G19" s="5">
        <f>SUM(D19:F19)</f>
        <v>17218</v>
      </c>
    </row>
    <row r="20" spans="1:9" x14ac:dyDescent="0.35">
      <c r="A20" s="2">
        <v>19.7</v>
      </c>
      <c r="D20" s="5">
        <v>14700</v>
      </c>
      <c r="E20" s="5">
        <v>4563</v>
      </c>
      <c r="G20" s="5">
        <f t="shared" si="0"/>
        <v>19263</v>
      </c>
    </row>
    <row r="21" spans="1:9" x14ac:dyDescent="0.35">
      <c r="A21" s="2">
        <v>20.7</v>
      </c>
      <c r="D21" s="5">
        <v>13400</v>
      </c>
      <c r="E21" s="5">
        <v>5172</v>
      </c>
      <c r="G21" s="5">
        <f t="shared" si="0"/>
        <v>18572</v>
      </c>
    </row>
    <row r="22" spans="1:9" x14ac:dyDescent="0.35">
      <c r="A22" s="2">
        <v>21.7</v>
      </c>
      <c r="B22" s="5">
        <v>5300</v>
      </c>
      <c r="C22" s="5">
        <v>3300</v>
      </c>
      <c r="D22" s="5">
        <v>4700</v>
      </c>
      <c r="E22" s="5">
        <v>2778</v>
      </c>
      <c r="G22" s="5">
        <f>SUM(B22:F22)</f>
        <v>16078</v>
      </c>
    </row>
    <row r="23" spans="1:9" x14ac:dyDescent="0.35">
      <c r="A23" s="2">
        <v>22.7</v>
      </c>
      <c r="B23" s="5">
        <v>5100</v>
      </c>
      <c r="C23" s="5">
        <v>2450</v>
      </c>
      <c r="D23" s="5">
        <v>4100</v>
      </c>
      <c r="E23" s="5">
        <v>2493</v>
      </c>
      <c r="G23" s="5">
        <f t="shared" ref="G23:G31" si="1">SUM(B23:F23)</f>
        <v>14143</v>
      </c>
    </row>
    <row r="24" spans="1:9" x14ac:dyDescent="0.35">
      <c r="A24" s="2">
        <v>23.7</v>
      </c>
      <c r="B24" s="5">
        <v>7950</v>
      </c>
      <c r="D24" s="5">
        <v>7600</v>
      </c>
      <c r="E24" s="5">
        <v>3865</v>
      </c>
      <c r="G24" s="5">
        <f t="shared" si="1"/>
        <v>19415</v>
      </c>
    </row>
    <row r="25" spans="1:9" x14ac:dyDescent="0.35">
      <c r="A25" s="2">
        <v>24.7</v>
      </c>
      <c r="C25" s="5">
        <v>8450</v>
      </c>
      <c r="D25" s="5">
        <v>6400</v>
      </c>
      <c r="E25" s="5">
        <v>3252</v>
      </c>
      <c r="F25" s="5">
        <v>370</v>
      </c>
      <c r="G25" s="5">
        <f t="shared" si="1"/>
        <v>18472</v>
      </c>
    </row>
    <row r="26" spans="1:9" x14ac:dyDescent="0.35">
      <c r="A26" s="2">
        <v>25.7</v>
      </c>
      <c r="D26" s="5">
        <v>12800</v>
      </c>
      <c r="E26" s="5">
        <v>2713</v>
      </c>
      <c r="G26" s="5">
        <f t="shared" si="1"/>
        <v>15513</v>
      </c>
      <c r="H26" s="5"/>
      <c r="I26" s="5"/>
    </row>
    <row r="27" spans="1:9" x14ac:dyDescent="0.35">
      <c r="A27" s="2">
        <v>26.7</v>
      </c>
      <c r="B27" s="5">
        <v>7100</v>
      </c>
      <c r="D27" s="5">
        <v>4650</v>
      </c>
      <c r="E27" s="5">
        <v>7160</v>
      </c>
      <c r="F27" s="5">
        <v>786</v>
      </c>
      <c r="G27" s="5">
        <f>SUM(B27:F27)</f>
        <v>19696</v>
      </c>
    </row>
    <row r="28" spans="1:9" x14ac:dyDescent="0.35">
      <c r="A28" s="2">
        <v>27.7</v>
      </c>
      <c r="C28" s="5">
        <v>7500</v>
      </c>
      <c r="D28" s="5">
        <v>5500</v>
      </c>
      <c r="E28" s="5">
        <v>3208</v>
      </c>
      <c r="G28" s="5">
        <f t="shared" si="1"/>
        <v>16208</v>
      </c>
    </row>
    <row r="29" spans="1:9" x14ac:dyDescent="0.35">
      <c r="A29" s="2">
        <v>28.7</v>
      </c>
      <c r="B29" s="5">
        <v>17360</v>
      </c>
      <c r="E29" s="5">
        <v>3302</v>
      </c>
      <c r="G29" s="5">
        <f t="shared" si="1"/>
        <v>20662</v>
      </c>
    </row>
    <row r="30" spans="1:9" x14ac:dyDescent="0.35">
      <c r="A30" s="2">
        <v>29.7</v>
      </c>
      <c r="C30" s="5">
        <v>8700</v>
      </c>
      <c r="D30" s="5">
        <v>5500</v>
      </c>
      <c r="E30" s="5">
        <v>3392</v>
      </c>
      <c r="G30" s="5">
        <f>SUM(B30:F30)</f>
        <v>17592</v>
      </c>
    </row>
    <row r="31" spans="1:9" x14ac:dyDescent="0.35">
      <c r="A31" s="2">
        <v>30.7</v>
      </c>
      <c r="B31" s="5">
        <v>4000</v>
      </c>
      <c r="C31" s="5">
        <v>8000</v>
      </c>
      <c r="D31" s="5">
        <v>1200</v>
      </c>
      <c r="E31" s="5">
        <v>4034</v>
      </c>
      <c r="F31" s="5">
        <v>951</v>
      </c>
      <c r="G31" s="5">
        <f t="shared" si="1"/>
        <v>18185</v>
      </c>
    </row>
    <row r="32" spans="1:9" x14ac:dyDescent="0.35">
      <c r="A32" s="2">
        <v>31.7</v>
      </c>
      <c r="D32" s="5">
        <v>12700</v>
      </c>
      <c r="E32" s="5">
        <v>4545</v>
      </c>
      <c r="G32" s="5">
        <f>SUM(B32:F32)</f>
        <v>17245</v>
      </c>
    </row>
    <row r="33" spans="7:10" x14ac:dyDescent="0.35">
      <c r="G33" s="5">
        <f>SUM(G2:G32)</f>
        <v>528829</v>
      </c>
    </row>
    <row r="39" spans="7:10" x14ac:dyDescent="0.35">
      <c r="J39" s="5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2BCB6-5387-4054-A46F-7EC3EACDEBBE}">
  <dimension ref="A1:G53"/>
  <sheetViews>
    <sheetView topLeftCell="A6" workbookViewId="0">
      <selection activeCell="E45" sqref="E45"/>
    </sheetView>
  </sheetViews>
  <sheetFormatPr defaultColWidth="8.81640625" defaultRowHeight="14.5" x14ac:dyDescent="0.35"/>
  <cols>
    <col min="1" max="1" width="13" style="2" customWidth="1"/>
    <col min="2" max="2" width="17.36328125" style="5" customWidth="1"/>
    <col min="3" max="4" width="15.81640625" style="5" customWidth="1"/>
    <col min="5" max="5" width="14.81640625" style="5" customWidth="1"/>
  </cols>
  <sheetData>
    <row r="1" spans="1:6" s="3" customFormat="1" ht="15.5" x14ac:dyDescent="0.35">
      <c r="A1" s="3" t="s">
        <v>11</v>
      </c>
      <c r="B1" s="4" t="s">
        <v>9</v>
      </c>
      <c r="C1" s="4" t="s">
        <v>10</v>
      </c>
      <c r="D1" s="4" t="s">
        <v>15</v>
      </c>
      <c r="E1" s="4" t="s">
        <v>4</v>
      </c>
      <c r="F1" s="3" t="s">
        <v>19</v>
      </c>
    </row>
    <row r="2" spans="1:6" x14ac:dyDescent="0.35">
      <c r="A2" s="2">
        <v>1.6</v>
      </c>
      <c r="B2" s="5">
        <v>10700</v>
      </c>
      <c r="C2" s="5">
        <v>3406</v>
      </c>
      <c r="D2" s="5">
        <v>1700</v>
      </c>
      <c r="E2" s="5">
        <f>SUM(B2:D2)</f>
        <v>15806</v>
      </c>
      <c r="F2" s="5">
        <v>237</v>
      </c>
    </row>
    <row r="3" spans="1:6" x14ac:dyDescent="0.35">
      <c r="A3" s="2">
        <v>2.6</v>
      </c>
      <c r="B3" s="5">
        <v>17100</v>
      </c>
      <c r="C3" s="5">
        <v>5301</v>
      </c>
      <c r="D3" s="5">
        <v>397</v>
      </c>
      <c r="E3" s="5">
        <f t="shared" ref="E3:E31" si="0">SUM(B3:D3)</f>
        <v>22798</v>
      </c>
      <c r="F3" s="5">
        <v>503</v>
      </c>
    </row>
    <row r="4" spans="1:6" x14ac:dyDescent="0.35">
      <c r="A4" s="2">
        <v>3.6</v>
      </c>
      <c r="B4" s="5">
        <v>10500</v>
      </c>
      <c r="C4" s="5">
        <v>4758</v>
      </c>
      <c r="E4" s="5">
        <f t="shared" si="0"/>
        <v>15258</v>
      </c>
      <c r="F4" s="5">
        <v>502</v>
      </c>
    </row>
    <row r="5" spans="1:6" x14ac:dyDescent="0.35">
      <c r="A5" s="2">
        <v>4.5999999999999996</v>
      </c>
      <c r="B5" s="5">
        <v>11600</v>
      </c>
      <c r="C5" s="5">
        <v>4040</v>
      </c>
      <c r="D5" s="5">
        <v>543</v>
      </c>
      <c r="E5" s="5">
        <f t="shared" si="0"/>
        <v>16183</v>
      </c>
      <c r="F5" s="5">
        <v>1340</v>
      </c>
    </row>
    <row r="6" spans="1:6" x14ac:dyDescent="0.35">
      <c r="A6" s="2">
        <v>5.6</v>
      </c>
      <c r="B6" s="5">
        <v>14200</v>
      </c>
      <c r="C6" s="5">
        <v>5108</v>
      </c>
      <c r="E6" s="5">
        <f t="shared" si="0"/>
        <v>19308</v>
      </c>
      <c r="F6" s="5">
        <v>900</v>
      </c>
    </row>
    <row r="7" spans="1:6" x14ac:dyDescent="0.35">
      <c r="A7" s="2">
        <v>6.6</v>
      </c>
      <c r="B7" s="5">
        <v>14100</v>
      </c>
      <c r="C7" s="5">
        <v>4148</v>
      </c>
      <c r="D7" s="5">
        <v>1432</v>
      </c>
      <c r="E7" s="5">
        <f t="shared" si="0"/>
        <v>19680</v>
      </c>
      <c r="F7" s="5">
        <v>11775</v>
      </c>
    </row>
    <row r="8" spans="1:6" x14ac:dyDescent="0.35">
      <c r="A8" s="2">
        <v>7.6</v>
      </c>
      <c r="B8" s="5">
        <v>13100</v>
      </c>
      <c r="C8" s="5">
        <v>4372</v>
      </c>
      <c r="E8" s="5">
        <f t="shared" si="0"/>
        <v>17472</v>
      </c>
      <c r="F8" s="5">
        <v>1140</v>
      </c>
    </row>
    <row r="9" spans="1:6" x14ac:dyDescent="0.35">
      <c r="A9" s="2">
        <v>8.6</v>
      </c>
      <c r="B9" s="5">
        <v>11500</v>
      </c>
      <c r="C9" s="5">
        <v>7100</v>
      </c>
      <c r="D9" s="5">
        <v>765</v>
      </c>
      <c r="E9" s="5">
        <f t="shared" si="0"/>
        <v>19365</v>
      </c>
      <c r="F9" s="5">
        <v>1947</v>
      </c>
    </row>
    <row r="10" spans="1:6" x14ac:dyDescent="0.35">
      <c r="A10" s="2">
        <v>9.6</v>
      </c>
      <c r="B10" s="5">
        <v>16200</v>
      </c>
      <c r="C10" s="5">
        <v>4080</v>
      </c>
      <c r="D10" s="5">
        <v>332</v>
      </c>
      <c r="E10" s="5">
        <f t="shared" si="0"/>
        <v>20612</v>
      </c>
      <c r="F10" s="5">
        <v>6225</v>
      </c>
    </row>
    <row r="11" spans="1:6" x14ac:dyDescent="0.35">
      <c r="A11" s="2">
        <v>10.6</v>
      </c>
      <c r="B11" s="5">
        <v>13000</v>
      </c>
      <c r="C11" s="5">
        <v>5337</v>
      </c>
      <c r="D11" s="5">
        <v>367</v>
      </c>
      <c r="E11" s="5">
        <f t="shared" si="0"/>
        <v>18704</v>
      </c>
      <c r="F11" s="5">
        <v>4629</v>
      </c>
    </row>
    <row r="12" spans="1:6" x14ac:dyDescent="0.35">
      <c r="A12" s="2">
        <v>11.6</v>
      </c>
      <c r="B12" s="5">
        <v>15100</v>
      </c>
      <c r="C12" s="5">
        <v>4579</v>
      </c>
      <c r="D12" s="5">
        <v>1365</v>
      </c>
      <c r="E12" s="5">
        <f t="shared" si="0"/>
        <v>21044</v>
      </c>
      <c r="F12" s="5">
        <v>1187</v>
      </c>
    </row>
    <row r="13" spans="1:6" x14ac:dyDescent="0.35">
      <c r="A13" s="2">
        <v>12.6</v>
      </c>
      <c r="B13" s="5">
        <v>14800</v>
      </c>
      <c r="C13" s="5">
        <v>3437</v>
      </c>
      <c r="D13" s="5">
        <v>100</v>
      </c>
      <c r="E13" s="5">
        <f t="shared" si="0"/>
        <v>18337</v>
      </c>
      <c r="F13" s="5">
        <v>1115</v>
      </c>
    </row>
    <row r="14" spans="1:6" x14ac:dyDescent="0.35">
      <c r="A14" s="2">
        <v>13.6</v>
      </c>
      <c r="B14" s="5">
        <v>14200</v>
      </c>
      <c r="C14" s="5">
        <v>4233</v>
      </c>
      <c r="E14" s="5">
        <f t="shared" si="0"/>
        <v>18433</v>
      </c>
      <c r="F14" s="5">
        <v>2040</v>
      </c>
    </row>
    <row r="15" spans="1:6" x14ac:dyDescent="0.35">
      <c r="A15" s="2">
        <v>14.6</v>
      </c>
      <c r="B15" s="5">
        <v>10200</v>
      </c>
      <c r="C15" s="5">
        <v>4631</v>
      </c>
      <c r="D15" s="5">
        <v>1115</v>
      </c>
      <c r="E15" s="5">
        <f t="shared" si="0"/>
        <v>15946</v>
      </c>
      <c r="F15" s="5">
        <v>3249</v>
      </c>
    </row>
    <row r="16" spans="1:6" x14ac:dyDescent="0.35">
      <c r="A16" s="2">
        <v>15.6</v>
      </c>
      <c r="B16" s="5">
        <v>11900</v>
      </c>
      <c r="C16" s="5">
        <v>8749</v>
      </c>
      <c r="D16" s="5">
        <v>446</v>
      </c>
      <c r="E16" s="5">
        <f t="shared" si="0"/>
        <v>21095</v>
      </c>
      <c r="F16" s="5">
        <v>970</v>
      </c>
    </row>
    <row r="17" spans="1:7" x14ac:dyDescent="0.35">
      <c r="A17" s="2">
        <v>16.600000000000001</v>
      </c>
      <c r="B17" s="5">
        <v>15400</v>
      </c>
      <c r="C17" s="5">
        <v>1212</v>
      </c>
      <c r="D17" s="5">
        <v>450</v>
      </c>
      <c r="E17" s="5">
        <f t="shared" si="0"/>
        <v>17062</v>
      </c>
      <c r="F17" s="5">
        <v>5706</v>
      </c>
    </row>
    <row r="18" spans="1:7" x14ac:dyDescent="0.35">
      <c r="A18" s="2">
        <v>17.600000000000001</v>
      </c>
      <c r="B18" s="5">
        <v>15200</v>
      </c>
      <c r="C18" s="5">
        <v>3159</v>
      </c>
      <c r="D18" s="5">
        <v>220</v>
      </c>
      <c r="E18" s="5">
        <f t="shared" si="0"/>
        <v>18579</v>
      </c>
      <c r="F18" s="5">
        <v>3050</v>
      </c>
    </row>
    <row r="19" spans="1:7" x14ac:dyDescent="0.35">
      <c r="A19" s="2">
        <v>18.600000000000001</v>
      </c>
      <c r="B19" s="5">
        <v>12000</v>
      </c>
      <c r="C19" s="5">
        <v>2235</v>
      </c>
      <c r="D19" s="5">
        <v>1450</v>
      </c>
      <c r="E19" s="5">
        <f t="shared" si="0"/>
        <v>15685</v>
      </c>
      <c r="F19" s="5">
        <v>56246</v>
      </c>
    </row>
    <row r="20" spans="1:7" x14ac:dyDescent="0.35">
      <c r="A20" s="2">
        <v>19.600000000000001</v>
      </c>
      <c r="B20" s="5">
        <v>19000</v>
      </c>
      <c r="C20" s="5">
        <v>4202</v>
      </c>
      <c r="E20" s="5">
        <f t="shared" si="0"/>
        <v>23202</v>
      </c>
      <c r="F20" s="5">
        <v>2560</v>
      </c>
    </row>
    <row r="21" spans="1:7" x14ac:dyDescent="0.35">
      <c r="A21" s="2">
        <v>20.6</v>
      </c>
      <c r="B21" s="5">
        <v>12900</v>
      </c>
      <c r="C21" s="5">
        <v>3478</v>
      </c>
      <c r="E21" s="5">
        <f t="shared" si="0"/>
        <v>16378</v>
      </c>
      <c r="F21" s="5">
        <v>6440</v>
      </c>
    </row>
    <row r="22" spans="1:7" x14ac:dyDescent="0.35">
      <c r="A22" s="2">
        <v>21.6</v>
      </c>
      <c r="B22" s="5">
        <v>15820</v>
      </c>
      <c r="C22" s="5">
        <v>5427</v>
      </c>
      <c r="E22" s="5">
        <f t="shared" si="0"/>
        <v>21247</v>
      </c>
      <c r="F22" s="5">
        <v>2541</v>
      </c>
    </row>
    <row r="23" spans="1:7" x14ac:dyDescent="0.35">
      <c r="A23" s="2">
        <v>22.6</v>
      </c>
      <c r="B23" s="5">
        <v>11900</v>
      </c>
      <c r="C23" s="5">
        <v>4506</v>
      </c>
      <c r="E23" s="5">
        <f t="shared" si="0"/>
        <v>16406</v>
      </c>
      <c r="F23" s="5">
        <v>1465</v>
      </c>
    </row>
    <row r="24" spans="1:7" x14ac:dyDescent="0.35">
      <c r="A24" s="2">
        <v>23.6</v>
      </c>
      <c r="B24" s="5">
        <v>11850</v>
      </c>
      <c r="C24" s="5">
        <v>4096</v>
      </c>
      <c r="D24" s="5">
        <v>270</v>
      </c>
      <c r="E24" s="5">
        <f>SUM(B24:D24)</f>
        <v>16216</v>
      </c>
      <c r="F24" s="5">
        <v>280</v>
      </c>
    </row>
    <row r="25" spans="1:7" x14ac:dyDescent="0.35">
      <c r="A25" s="2">
        <v>24.6</v>
      </c>
      <c r="B25" s="5">
        <v>12600</v>
      </c>
      <c r="C25" s="5">
        <v>7548</v>
      </c>
      <c r="E25" s="5">
        <f t="shared" si="0"/>
        <v>20148</v>
      </c>
      <c r="F25" s="5">
        <v>1185</v>
      </c>
    </row>
    <row r="26" spans="1:7" x14ac:dyDescent="0.35">
      <c r="A26" s="2">
        <v>25.6</v>
      </c>
      <c r="B26" s="5">
        <v>13700</v>
      </c>
      <c r="C26" s="5">
        <v>2205</v>
      </c>
      <c r="E26" s="5">
        <f t="shared" si="0"/>
        <v>15905</v>
      </c>
      <c r="F26" s="5">
        <v>11982</v>
      </c>
      <c r="G26" s="5"/>
    </row>
    <row r="27" spans="1:7" x14ac:dyDescent="0.35">
      <c r="A27" s="2">
        <v>26.6</v>
      </c>
      <c r="B27" s="5">
        <v>17400</v>
      </c>
      <c r="C27" s="5">
        <v>2395</v>
      </c>
      <c r="E27" s="5">
        <f t="shared" si="0"/>
        <v>19795</v>
      </c>
      <c r="F27" s="5">
        <v>5870</v>
      </c>
    </row>
    <row r="28" spans="1:7" x14ac:dyDescent="0.35">
      <c r="A28" s="2">
        <v>27.6</v>
      </c>
      <c r="B28" s="5">
        <v>11900</v>
      </c>
      <c r="C28" s="5">
        <v>4393</v>
      </c>
      <c r="E28" s="5">
        <f t="shared" si="0"/>
        <v>16293</v>
      </c>
      <c r="F28" s="5">
        <v>5877</v>
      </c>
    </row>
    <row r="29" spans="1:7" x14ac:dyDescent="0.35">
      <c r="A29" s="2">
        <v>28.6</v>
      </c>
      <c r="B29" s="5">
        <v>11600</v>
      </c>
      <c r="C29" s="5">
        <v>4642</v>
      </c>
      <c r="E29" s="5">
        <f>SUM(B29:D29)</f>
        <v>16242</v>
      </c>
      <c r="F29" s="5">
        <v>271</v>
      </c>
    </row>
    <row r="30" spans="1:7" x14ac:dyDescent="0.35">
      <c r="A30" s="2">
        <v>29.6</v>
      </c>
      <c r="B30" s="5">
        <v>12700</v>
      </c>
      <c r="C30" s="5">
        <v>3559</v>
      </c>
      <c r="E30" s="5">
        <f t="shared" si="0"/>
        <v>16259</v>
      </c>
      <c r="F30" s="5">
        <v>1360</v>
      </c>
    </row>
    <row r="31" spans="1:7" x14ac:dyDescent="0.35">
      <c r="A31" s="2">
        <v>30.6</v>
      </c>
      <c r="B31" s="5">
        <v>11600</v>
      </c>
      <c r="C31" s="5">
        <v>3109</v>
      </c>
      <c r="D31" s="5">
        <v>420</v>
      </c>
      <c r="E31" s="5">
        <f t="shared" si="0"/>
        <v>15129</v>
      </c>
      <c r="F31" s="5">
        <v>494</v>
      </c>
    </row>
    <row r="32" spans="1:7" x14ac:dyDescent="0.35">
      <c r="F32" s="5">
        <v>1245</v>
      </c>
    </row>
    <row r="33" spans="4:6" x14ac:dyDescent="0.35">
      <c r="D33" s="5">
        <f>SUM(D2:D31)</f>
        <v>11372</v>
      </c>
      <c r="E33" s="5">
        <f>SUM(E2:E32)</f>
        <v>544587</v>
      </c>
      <c r="F33" s="5">
        <v>1900</v>
      </c>
    </row>
    <row r="34" spans="4:6" x14ac:dyDescent="0.35">
      <c r="F34" s="5">
        <v>236</v>
      </c>
    </row>
    <row r="35" spans="4:6" x14ac:dyDescent="0.35">
      <c r="F35" s="5">
        <v>1115</v>
      </c>
    </row>
    <row r="36" spans="4:6" x14ac:dyDescent="0.35">
      <c r="F36" s="5">
        <v>190</v>
      </c>
    </row>
    <row r="37" spans="4:6" x14ac:dyDescent="0.35">
      <c r="F37" s="5">
        <v>800</v>
      </c>
    </row>
    <row r="38" spans="4:6" x14ac:dyDescent="0.35">
      <c r="F38" s="5">
        <v>983</v>
      </c>
    </row>
    <row r="39" spans="4:6" x14ac:dyDescent="0.35">
      <c r="F39" s="5">
        <v>1170</v>
      </c>
    </row>
    <row r="40" spans="4:6" x14ac:dyDescent="0.35">
      <c r="F40" s="5">
        <v>6259</v>
      </c>
    </row>
    <row r="41" spans="4:6" x14ac:dyDescent="0.35">
      <c r="F41" s="5">
        <v>800</v>
      </c>
    </row>
    <row r="42" spans="4:6" x14ac:dyDescent="0.35">
      <c r="F42" s="5">
        <v>5953</v>
      </c>
    </row>
    <row r="43" spans="4:6" x14ac:dyDescent="0.35">
      <c r="F43" s="5">
        <v>18473</v>
      </c>
    </row>
    <row r="44" spans="4:6" x14ac:dyDescent="0.35">
      <c r="F44" s="5">
        <v>9774</v>
      </c>
    </row>
    <row r="45" spans="4:6" x14ac:dyDescent="0.35">
      <c r="F45" s="5">
        <v>9809</v>
      </c>
    </row>
    <row r="46" spans="4:6" x14ac:dyDescent="0.35">
      <c r="F46" s="5">
        <v>1350</v>
      </c>
    </row>
    <row r="47" spans="4:6" x14ac:dyDescent="0.35">
      <c r="F47" s="5">
        <v>4470</v>
      </c>
    </row>
    <row r="48" spans="4:6" x14ac:dyDescent="0.35">
      <c r="F48" s="5">
        <v>257</v>
      </c>
    </row>
    <row r="49" spans="6:6" x14ac:dyDescent="0.35">
      <c r="F49" s="5">
        <v>1015</v>
      </c>
    </row>
    <row r="50" spans="6:6" x14ac:dyDescent="0.35">
      <c r="F50" s="5">
        <v>2348</v>
      </c>
    </row>
    <row r="51" spans="6:6" x14ac:dyDescent="0.35">
      <c r="F51" s="5">
        <v>14031</v>
      </c>
    </row>
    <row r="52" spans="6:6" x14ac:dyDescent="0.35">
      <c r="F52" s="5">
        <v>20246</v>
      </c>
    </row>
    <row r="53" spans="6:6" x14ac:dyDescent="0.35">
      <c r="F53" s="6">
        <f>SUM(F2:F52)</f>
        <v>245510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AB6A-2F98-440F-AC2D-D3A7BA25039A}">
  <dimension ref="A1:G33"/>
  <sheetViews>
    <sheetView topLeftCell="A12" workbookViewId="0">
      <selection activeCell="B43" sqref="B43"/>
    </sheetView>
  </sheetViews>
  <sheetFormatPr defaultColWidth="8.81640625" defaultRowHeight="14.5" x14ac:dyDescent="0.35"/>
  <cols>
    <col min="1" max="1" width="13" style="2" customWidth="1"/>
    <col min="2" max="2" width="17.36328125" style="5" customWidth="1"/>
    <col min="3" max="4" width="15.81640625" style="5" customWidth="1"/>
    <col min="5" max="5" width="14.81640625" style="5" customWidth="1"/>
  </cols>
  <sheetData>
    <row r="1" spans="1:5" s="3" customFormat="1" ht="15.5" x14ac:dyDescent="0.35">
      <c r="A1" s="3" t="s">
        <v>11</v>
      </c>
      <c r="B1" s="4" t="s">
        <v>9</v>
      </c>
      <c r="C1" s="4" t="s">
        <v>10</v>
      </c>
      <c r="D1" s="4" t="s">
        <v>15</v>
      </c>
      <c r="E1" s="4" t="s">
        <v>4</v>
      </c>
    </row>
    <row r="2" spans="1:5" x14ac:dyDescent="0.35">
      <c r="A2" s="2">
        <v>1.5</v>
      </c>
      <c r="B2" s="5">
        <v>17500</v>
      </c>
      <c r="C2" s="5">
        <v>7029</v>
      </c>
      <c r="D2" s="5">
        <v>1032</v>
      </c>
      <c r="E2" s="5">
        <f>SUM(B2:D2)</f>
        <v>25561</v>
      </c>
    </row>
    <row r="3" spans="1:5" x14ac:dyDescent="0.35">
      <c r="A3" s="2">
        <v>2.5</v>
      </c>
      <c r="B3" s="5">
        <v>13900</v>
      </c>
      <c r="C3" s="5">
        <v>3127</v>
      </c>
      <c r="E3" s="5">
        <f t="shared" ref="E3:E32" si="0">SUM(B3:D3)</f>
        <v>17027</v>
      </c>
    </row>
    <row r="4" spans="1:5" x14ac:dyDescent="0.35">
      <c r="A4" s="2">
        <v>3.5</v>
      </c>
      <c r="B4" s="5">
        <v>14000</v>
      </c>
      <c r="C4" s="5">
        <v>2142</v>
      </c>
      <c r="E4" s="5">
        <f t="shared" si="0"/>
        <v>16142</v>
      </c>
    </row>
    <row r="5" spans="1:5" x14ac:dyDescent="0.35">
      <c r="A5" s="2">
        <v>4.5</v>
      </c>
      <c r="B5" s="5">
        <v>12600</v>
      </c>
      <c r="C5" s="5">
        <v>3266</v>
      </c>
      <c r="D5" s="5">
        <v>1160</v>
      </c>
      <c r="E5" s="5">
        <f t="shared" si="0"/>
        <v>17026</v>
      </c>
    </row>
    <row r="6" spans="1:5" x14ac:dyDescent="0.35">
      <c r="A6" s="2">
        <v>5.5</v>
      </c>
      <c r="B6" s="5">
        <v>16200</v>
      </c>
      <c r="C6" s="5">
        <v>4116</v>
      </c>
      <c r="D6" s="5">
        <v>1010</v>
      </c>
      <c r="E6" s="5">
        <f t="shared" si="0"/>
        <v>21326</v>
      </c>
    </row>
    <row r="7" spans="1:5" x14ac:dyDescent="0.35">
      <c r="A7" s="2">
        <v>6.5</v>
      </c>
      <c r="B7" s="5">
        <v>14200</v>
      </c>
      <c r="C7" s="5">
        <v>3766</v>
      </c>
      <c r="D7" s="5">
        <v>404</v>
      </c>
      <c r="E7" s="5">
        <f t="shared" si="0"/>
        <v>18370</v>
      </c>
    </row>
    <row r="8" spans="1:5" x14ac:dyDescent="0.35">
      <c r="A8" s="2">
        <v>7.5</v>
      </c>
      <c r="B8" s="5">
        <v>15600</v>
      </c>
      <c r="C8" s="5">
        <v>3906</v>
      </c>
      <c r="D8" s="5">
        <v>469</v>
      </c>
      <c r="E8" s="5">
        <f t="shared" si="0"/>
        <v>19975</v>
      </c>
    </row>
    <row r="9" spans="1:5" x14ac:dyDescent="0.35">
      <c r="A9" s="2">
        <v>8.5</v>
      </c>
      <c r="B9" s="5">
        <v>15500</v>
      </c>
      <c r="C9" s="5">
        <v>2540</v>
      </c>
      <c r="E9" s="5">
        <f t="shared" si="0"/>
        <v>18040</v>
      </c>
    </row>
    <row r="10" spans="1:5" x14ac:dyDescent="0.35">
      <c r="A10" s="2">
        <v>9.5</v>
      </c>
      <c r="B10" s="5">
        <v>13300</v>
      </c>
      <c r="C10" s="5">
        <v>3504</v>
      </c>
      <c r="D10" s="5">
        <v>151</v>
      </c>
      <c r="E10" s="5">
        <f t="shared" si="0"/>
        <v>16955</v>
      </c>
    </row>
    <row r="11" spans="1:5" x14ac:dyDescent="0.35">
      <c r="A11" s="2">
        <v>10.5</v>
      </c>
      <c r="B11" s="5">
        <v>18800</v>
      </c>
      <c r="C11" s="5">
        <v>6603</v>
      </c>
      <c r="E11" s="5">
        <f t="shared" si="0"/>
        <v>25403</v>
      </c>
    </row>
    <row r="12" spans="1:5" x14ac:dyDescent="0.35">
      <c r="A12" s="2">
        <v>11.5</v>
      </c>
      <c r="B12" s="5">
        <v>15200</v>
      </c>
      <c r="C12" s="5">
        <v>3071</v>
      </c>
      <c r="E12" s="5">
        <f t="shared" si="0"/>
        <v>18271</v>
      </c>
    </row>
    <row r="13" spans="1:5" x14ac:dyDescent="0.35">
      <c r="A13" s="2">
        <v>12.5</v>
      </c>
      <c r="B13" s="5">
        <v>15300</v>
      </c>
      <c r="C13" s="5">
        <v>4659</v>
      </c>
      <c r="D13" s="5">
        <v>1150</v>
      </c>
      <c r="E13" s="5">
        <f t="shared" si="0"/>
        <v>21109</v>
      </c>
    </row>
    <row r="14" spans="1:5" x14ac:dyDescent="0.35">
      <c r="A14" s="2">
        <v>13.5</v>
      </c>
      <c r="B14" s="5">
        <v>14400</v>
      </c>
      <c r="C14" s="5">
        <v>3987</v>
      </c>
      <c r="D14" s="5">
        <v>1460</v>
      </c>
      <c r="E14" s="5">
        <f t="shared" si="0"/>
        <v>19847</v>
      </c>
    </row>
    <row r="15" spans="1:5" x14ac:dyDescent="0.35">
      <c r="A15" s="2">
        <v>14.5</v>
      </c>
      <c r="B15" s="5">
        <v>13500</v>
      </c>
      <c r="C15" s="5">
        <v>4259</v>
      </c>
      <c r="E15" s="5">
        <f t="shared" si="0"/>
        <v>17759</v>
      </c>
    </row>
    <row r="16" spans="1:5" x14ac:dyDescent="0.35">
      <c r="A16" s="2">
        <v>15.5</v>
      </c>
      <c r="B16" s="5">
        <v>16100</v>
      </c>
      <c r="C16" s="5">
        <v>4446</v>
      </c>
      <c r="E16" s="5">
        <f t="shared" si="0"/>
        <v>20546</v>
      </c>
    </row>
    <row r="17" spans="1:7" x14ac:dyDescent="0.35">
      <c r="A17" s="2">
        <v>16.5</v>
      </c>
      <c r="B17" s="5">
        <v>12300</v>
      </c>
      <c r="C17" s="5">
        <v>3814</v>
      </c>
      <c r="D17" s="5">
        <v>178</v>
      </c>
      <c r="E17" s="5">
        <f t="shared" si="0"/>
        <v>16292</v>
      </c>
    </row>
    <row r="18" spans="1:7" x14ac:dyDescent="0.35">
      <c r="A18" s="2">
        <v>17.5</v>
      </c>
      <c r="B18" s="5">
        <v>13600</v>
      </c>
      <c r="C18" s="5">
        <v>2051</v>
      </c>
      <c r="E18" s="5">
        <f t="shared" si="0"/>
        <v>15651</v>
      </c>
    </row>
    <row r="19" spans="1:7" x14ac:dyDescent="0.35">
      <c r="A19" s="2">
        <v>18.5</v>
      </c>
      <c r="B19" s="5">
        <v>15000</v>
      </c>
      <c r="C19" s="5">
        <v>2836</v>
      </c>
      <c r="E19" s="5">
        <f t="shared" si="0"/>
        <v>17836</v>
      </c>
    </row>
    <row r="20" spans="1:7" x14ac:dyDescent="0.35">
      <c r="A20" s="2">
        <v>19.5</v>
      </c>
      <c r="B20" s="5">
        <v>14800</v>
      </c>
      <c r="C20" s="5">
        <v>4584</v>
      </c>
      <c r="E20" s="5">
        <f t="shared" si="0"/>
        <v>19384</v>
      </c>
    </row>
    <row r="21" spans="1:7" x14ac:dyDescent="0.35">
      <c r="A21" s="2">
        <v>20.5</v>
      </c>
      <c r="B21" s="5">
        <v>12100</v>
      </c>
      <c r="C21" s="5">
        <v>4377</v>
      </c>
      <c r="D21" s="5">
        <v>1700</v>
      </c>
      <c r="E21" s="5">
        <f t="shared" si="0"/>
        <v>18177</v>
      </c>
    </row>
    <row r="22" spans="1:7" x14ac:dyDescent="0.35">
      <c r="A22" s="2">
        <v>21.5</v>
      </c>
      <c r="B22" s="5">
        <v>11500</v>
      </c>
      <c r="C22" s="5">
        <v>5108</v>
      </c>
      <c r="D22" s="5">
        <v>1100</v>
      </c>
      <c r="E22" s="5">
        <f t="shared" si="0"/>
        <v>17708</v>
      </c>
    </row>
    <row r="23" spans="1:7" x14ac:dyDescent="0.35">
      <c r="A23" s="2">
        <v>22.5</v>
      </c>
      <c r="B23" s="5">
        <v>15100</v>
      </c>
      <c r="C23" s="5">
        <v>5258</v>
      </c>
      <c r="E23" s="5">
        <f t="shared" si="0"/>
        <v>20358</v>
      </c>
    </row>
    <row r="24" spans="1:7" x14ac:dyDescent="0.35">
      <c r="A24" s="2">
        <v>23.5</v>
      </c>
      <c r="B24" s="5">
        <v>15600</v>
      </c>
      <c r="C24" s="5">
        <v>4644</v>
      </c>
      <c r="E24" s="5">
        <f>SUM(B24:D24)</f>
        <v>20244</v>
      </c>
    </row>
    <row r="25" spans="1:7" x14ac:dyDescent="0.35">
      <c r="A25" s="2">
        <v>24.5</v>
      </c>
      <c r="B25" s="5">
        <v>14300</v>
      </c>
      <c r="C25" s="5">
        <v>2328</v>
      </c>
      <c r="D25" s="5">
        <v>1300</v>
      </c>
      <c r="E25" s="5">
        <f t="shared" si="0"/>
        <v>17928</v>
      </c>
    </row>
    <row r="26" spans="1:7" x14ac:dyDescent="0.35">
      <c r="A26" s="2">
        <v>25.5</v>
      </c>
      <c r="B26" s="5">
        <v>12150</v>
      </c>
      <c r="C26" s="5">
        <v>4036</v>
      </c>
      <c r="D26" s="5">
        <v>3572</v>
      </c>
      <c r="E26" s="5">
        <f t="shared" si="0"/>
        <v>19758</v>
      </c>
      <c r="F26" s="5"/>
      <c r="G26" s="5"/>
    </row>
    <row r="27" spans="1:7" x14ac:dyDescent="0.35">
      <c r="A27" s="2">
        <v>26.5</v>
      </c>
      <c r="B27" s="5">
        <v>15000</v>
      </c>
      <c r="C27" s="5">
        <v>2981</v>
      </c>
      <c r="E27" s="5">
        <f t="shared" si="0"/>
        <v>17981</v>
      </c>
    </row>
    <row r="28" spans="1:7" x14ac:dyDescent="0.35">
      <c r="A28" s="2">
        <v>27.5</v>
      </c>
      <c r="B28" s="5">
        <v>11400</v>
      </c>
      <c r="C28" s="5">
        <v>2076</v>
      </c>
      <c r="D28" s="5">
        <v>900</v>
      </c>
      <c r="E28" s="5">
        <f t="shared" si="0"/>
        <v>14376</v>
      </c>
    </row>
    <row r="29" spans="1:7" x14ac:dyDescent="0.35">
      <c r="A29" s="2">
        <v>28.5</v>
      </c>
      <c r="B29" s="5">
        <v>14000</v>
      </c>
      <c r="C29" s="5">
        <v>2594</v>
      </c>
      <c r="E29" s="5">
        <f t="shared" si="0"/>
        <v>16594</v>
      </c>
    </row>
    <row r="30" spans="1:7" x14ac:dyDescent="0.35">
      <c r="A30" s="2">
        <v>29.5</v>
      </c>
      <c r="B30" s="5">
        <v>14000</v>
      </c>
      <c r="C30" s="5">
        <v>10900</v>
      </c>
      <c r="E30" s="5">
        <f t="shared" si="0"/>
        <v>24900</v>
      </c>
    </row>
    <row r="31" spans="1:7" x14ac:dyDescent="0.35">
      <c r="A31" s="2">
        <v>30.5</v>
      </c>
      <c r="B31" s="5">
        <v>11800</v>
      </c>
      <c r="C31" s="5">
        <v>4744</v>
      </c>
      <c r="E31" s="5">
        <f t="shared" si="0"/>
        <v>16544</v>
      </c>
    </row>
    <row r="32" spans="1:7" x14ac:dyDescent="0.35">
      <c r="A32" s="2">
        <v>31.5</v>
      </c>
      <c r="B32" s="5">
        <v>13100</v>
      </c>
      <c r="C32" s="5">
        <v>3286</v>
      </c>
      <c r="D32" s="5">
        <v>2049</v>
      </c>
      <c r="E32" s="5">
        <f t="shared" si="0"/>
        <v>18435</v>
      </c>
    </row>
    <row r="33" spans="5:5" x14ac:dyDescent="0.35">
      <c r="E33" s="5">
        <f>SUM(E2:E32)</f>
        <v>585523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47DA2-8818-4029-A20F-DF02FB531FB1}">
  <dimension ref="A1:G33"/>
  <sheetViews>
    <sheetView topLeftCell="A15" workbookViewId="0">
      <selection activeCell="D26" sqref="D26"/>
    </sheetView>
  </sheetViews>
  <sheetFormatPr defaultColWidth="8.81640625" defaultRowHeight="14.5" x14ac:dyDescent="0.35"/>
  <cols>
    <col min="1" max="1" width="13" style="2" customWidth="1"/>
    <col min="2" max="2" width="17.36328125" style="5" customWidth="1"/>
    <col min="3" max="4" width="15.81640625" style="5" customWidth="1"/>
    <col min="5" max="5" width="14.81640625" style="5" customWidth="1"/>
  </cols>
  <sheetData>
    <row r="1" spans="1:5" s="3" customFormat="1" ht="15.5" x14ac:dyDescent="0.35">
      <c r="A1" s="3" t="s">
        <v>11</v>
      </c>
      <c r="B1" s="4" t="s">
        <v>9</v>
      </c>
      <c r="C1" s="4" t="s">
        <v>10</v>
      </c>
      <c r="D1" s="4" t="s">
        <v>15</v>
      </c>
      <c r="E1" s="4" t="s">
        <v>4</v>
      </c>
    </row>
    <row r="2" spans="1:5" x14ac:dyDescent="0.35">
      <c r="A2" s="2">
        <v>1.4</v>
      </c>
      <c r="B2" s="5">
        <v>16150</v>
      </c>
      <c r="C2" s="5">
        <v>4238</v>
      </c>
      <c r="D2" s="5">
        <v>557</v>
      </c>
      <c r="E2" s="5">
        <f>SUM(B2:D2)</f>
        <v>20945</v>
      </c>
    </row>
    <row r="3" spans="1:5" x14ac:dyDescent="0.35">
      <c r="A3" s="2">
        <v>2.4</v>
      </c>
      <c r="B3" s="5">
        <v>15200</v>
      </c>
      <c r="C3" s="5">
        <v>4698</v>
      </c>
      <c r="D3" s="5">
        <v>1072</v>
      </c>
      <c r="E3" s="5">
        <f t="shared" ref="E3:E31" si="0">SUM(B3:D3)</f>
        <v>20970</v>
      </c>
    </row>
    <row r="4" spans="1:5" x14ac:dyDescent="0.35">
      <c r="A4" s="2">
        <v>3.4</v>
      </c>
      <c r="B4" s="5">
        <v>17250</v>
      </c>
      <c r="C4" s="5">
        <v>2826</v>
      </c>
      <c r="E4" s="5">
        <f t="shared" si="0"/>
        <v>20076</v>
      </c>
    </row>
    <row r="5" spans="1:5" x14ac:dyDescent="0.35">
      <c r="A5" s="2">
        <v>4.4000000000000004</v>
      </c>
      <c r="B5" s="5">
        <v>16200</v>
      </c>
      <c r="C5" s="5">
        <v>4326</v>
      </c>
      <c r="D5" s="5">
        <v>213</v>
      </c>
      <c r="E5" s="5">
        <f t="shared" si="0"/>
        <v>20739</v>
      </c>
    </row>
    <row r="6" spans="1:5" x14ac:dyDescent="0.35">
      <c r="A6" s="2">
        <v>5.4</v>
      </c>
      <c r="B6" s="5">
        <v>14000</v>
      </c>
      <c r="C6" s="5">
        <v>9457</v>
      </c>
      <c r="E6" s="5">
        <f t="shared" si="0"/>
        <v>23457</v>
      </c>
    </row>
    <row r="7" spans="1:5" x14ac:dyDescent="0.35">
      <c r="A7" s="2">
        <v>6.4</v>
      </c>
      <c r="B7" s="5">
        <v>13300</v>
      </c>
      <c r="C7" s="5">
        <v>3530</v>
      </c>
      <c r="D7" s="5">
        <v>1579</v>
      </c>
      <c r="E7" s="5">
        <f t="shared" si="0"/>
        <v>18409</v>
      </c>
    </row>
    <row r="8" spans="1:5" x14ac:dyDescent="0.35">
      <c r="A8" s="2">
        <v>7.4</v>
      </c>
      <c r="B8" s="5">
        <v>16500</v>
      </c>
      <c r="C8" s="5">
        <v>5895</v>
      </c>
      <c r="E8" s="5">
        <f t="shared" si="0"/>
        <v>22395</v>
      </c>
    </row>
    <row r="9" spans="1:5" x14ac:dyDescent="0.35">
      <c r="A9" s="2">
        <v>8.4</v>
      </c>
      <c r="B9" s="5">
        <v>16100</v>
      </c>
      <c r="C9" s="5">
        <v>6281</v>
      </c>
      <c r="E9" s="5">
        <f t="shared" si="0"/>
        <v>22381</v>
      </c>
    </row>
    <row r="10" spans="1:5" x14ac:dyDescent="0.35">
      <c r="A10" s="2">
        <v>9.4</v>
      </c>
      <c r="B10" s="5">
        <v>15900</v>
      </c>
      <c r="C10" s="5">
        <v>5065</v>
      </c>
      <c r="D10" s="5">
        <v>735</v>
      </c>
      <c r="E10" s="5">
        <f t="shared" si="0"/>
        <v>21700</v>
      </c>
    </row>
    <row r="11" spans="1:5" x14ac:dyDescent="0.35">
      <c r="A11" s="2">
        <v>10.4</v>
      </c>
      <c r="B11" s="5">
        <v>15700</v>
      </c>
      <c r="C11" s="5">
        <v>7428</v>
      </c>
      <c r="D11" s="5">
        <v>2500</v>
      </c>
      <c r="E11" s="5">
        <f t="shared" si="0"/>
        <v>25628</v>
      </c>
    </row>
    <row r="12" spans="1:5" x14ac:dyDescent="0.35">
      <c r="A12" s="2">
        <v>11.4</v>
      </c>
      <c r="B12" s="5">
        <v>15500</v>
      </c>
      <c r="C12" s="5">
        <v>1578</v>
      </c>
      <c r="E12" s="5">
        <f t="shared" si="0"/>
        <v>17078</v>
      </c>
    </row>
    <row r="13" spans="1:5" x14ac:dyDescent="0.35">
      <c r="A13" s="2">
        <v>12.4</v>
      </c>
      <c r="B13" s="5">
        <v>16200</v>
      </c>
      <c r="C13" s="5">
        <v>3660</v>
      </c>
      <c r="E13" s="5">
        <f t="shared" si="0"/>
        <v>19860</v>
      </c>
    </row>
    <row r="14" spans="1:5" x14ac:dyDescent="0.35">
      <c r="A14" s="2">
        <v>13.4</v>
      </c>
      <c r="B14" s="5">
        <v>17300</v>
      </c>
      <c r="C14" s="5">
        <v>7519</v>
      </c>
      <c r="E14" s="5">
        <f t="shared" si="0"/>
        <v>24819</v>
      </c>
    </row>
    <row r="15" spans="1:5" x14ac:dyDescent="0.35">
      <c r="A15" s="2">
        <v>14.4</v>
      </c>
      <c r="B15" s="5">
        <v>18400</v>
      </c>
      <c r="C15" s="5">
        <v>2144</v>
      </c>
      <c r="D15" s="5">
        <v>339</v>
      </c>
      <c r="E15" s="5">
        <f t="shared" si="0"/>
        <v>20883</v>
      </c>
    </row>
    <row r="16" spans="1:5" x14ac:dyDescent="0.35">
      <c r="A16" s="2">
        <v>15.4</v>
      </c>
      <c r="B16" s="5">
        <v>17800</v>
      </c>
      <c r="C16" s="5">
        <v>3721</v>
      </c>
      <c r="D16" s="5">
        <v>720</v>
      </c>
      <c r="E16" s="5">
        <f t="shared" si="0"/>
        <v>22241</v>
      </c>
    </row>
    <row r="17" spans="1:7" x14ac:dyDescent="0.35">
      <c r="A17" s="2">
        <v>16.399999999999999</v>
      </c>
      <c r="B17" s="5">
        <v>15600</v>
      </c>
      <c r="C17" s="5">
        <v>2747</v>
      </c>
      <c r="D17" s="5">
        <v>1180</v>
      </c>
      <c r="E17" s="5">
        <f t="shared" si="0"/>
        <v>19527</v>
      </c>
    </row>
    <row r="18" spans="1:7" x14ac:dyDescent="0.35">
      <c r="A18" s="2">
        <v>17.399999999999999</v>
      </c>
      <c r="B18" s="5">
        <v>12400</v>
      </c>
      <c r="C18" s="5">
        <v>3586</v>
      </c>
      <c r="E18" s="5">
        <f t="shared" si="0"/>
        <v>15986</v>
      </c>
    </row>
    <row r="19" spans="1:7" x14ac:dyDescent="0.35">
      <c r="A19" s="2">
        <v>18.399999999999999</v>
      </c>
      <c r="B19" s="5">
        <v>21600</v>
      </c>
      <c r="C19" s="5">
        <v>2329</v>
      </c>
      <c r="E19" s="5">
        <f t="shared" si="0"/>
        <v>23929</v>
      </c>
    </row>
    <row r="20" spans="1:7" x14ac:dyDescent="0.35">
      <c r="A20" s="2">
        <v>19.399999999999999</v>
      </c>
      <c r="B20" s="5">
        <v>18000</v>
      </c>
      <c r="C20" s="5">
        <v>7542</v>
      </c>
      <c r="E20" s="5">
        <f t="shared" si="0"/>
        <v>25542</v>
      </c>
    </row>
    <row r="21" spans="1:7" x14ac:dyDescent="0.35">
      <c r="A21" s="2">
        <v>20.399999999999999</v>
      </c>
      <c r="B21" s="5">
        <v>14800</v>
      </c>
      <c r="C21" s="5">
        <v>2611</v>
      </c>
      <c r="D21" s="5">
        <v>2753</v>
      </c>
      <c r="E21" s="5">
        <f t="shared" si="0"/>
        <v>20164</v>
      </c>
    </row>
    <row r="22" spans="1:7" x14ac:dyDescent="0.35">
      <c r="A22" s="2">
        <v>21.4</v>
      </c>
      <c r="B22" s="5">
        <v>14100</v>
      </c>
      <c r="C22" s="5">
        <v>2687</v>
      </c>
      <c r="D22" s="5">
        <v>86</v>
      </c>
      <c r="E22" s="5">
        <f t="shared" si="0"/>
        <v>16873</v>
      </c>
    </row>
    <row r="23" spans="1:7" x14ac:dyDescent="0.35">
      <c r="A23" s="2">
        <v>22.4</v>
      </c>
      <c r="B23" s="5">
        <v>11700</v>
      </c>
      <c r="C23" s="5">
        <v>3459</v>
      </c>
      <c r="D23" s="5">
        <v>1171</v>
      </c>
      <c r="E23" s="5">
        <f t="shared" si="0"/>
        <v>16330</v>
      </c>
    </row>
    <row r="24" spans="1:7" x14ac:dyDescent="0.35">
      <c r="A24" s="2">
        <v>23.4</v>
      </c>
      <c r="B24" s="5">
        <v>14000</v>
      </c>
      <c r="C24" s="5">
        <v>3480</v>
      </c>
      <c r="E24" s="5">
        <f t="shared" si="0"/>
        <v>17480</v>
      </c>
    </row>
    <row r="25" spans="1:7" x14ac:dyDescent="0.35">
      <c r="A25" s="2">
        <v>24.4</v>
      </c>
      <c r="B25" s="5">
        <v>14700</v>
      </c>
      <c r="C25" s="5">
        <v>3510</v>
      </c>
      <c r="D25" s="5">
        <v>451</v>
      </c>
      <c r="E25" s="5">
        <f t="shared" si="0"/>
        <v>18661</v>
      </c>
    </row>
    <row r="26" spans="1:7" x14ac:dyDescent="0.35">
      <c r="A26" s="2">
        <v>25.4</v>
      </c>
      <c r="B26" s="5">
        <v>12100</v>
      </c>
      <c r="C26" s="5">
        <v>4819</v>
      </c>
      <c r="D26" s="5">
        <v>1970</v>
      </c>
      <c r="E26" s="5">
        <f t="shared" si="0"/>
        <v>18889</v>
      </c>
      <c r="F26" s="5"/>
      <c r="G26" s="5"/>
    </row>
    <row r="27" spans="1:7" x14ac:dyDescent="0.35">
      <c r="A27" s="2">
        <v>26.4</v>
      </c>
      <c r="B27" s="5">
        <v>15000</v>
      </c>
      <c r="C27" s="5">
        <v>3931</v>
      </c>
      <c r="E27" s="5">
        <f t="shared" si="0"/>
        <v>18931</v>
      </c>
    </row>
    <row r="28" spans="1:7" x14ac:dyDescent="0.35">
      <c r="A28" s="2">
        <v>27.4</v>
      </c>
      <c r="B28" s="5">
        <v>14100</v>
      </c>
      <c r="C28" s="5">
        <v>5613</v>
      </c>
      <c r="E28" s="5">
        <f t="shared" si="0"/>
        <v>19713</v>
      </c>
    </row>
    <row r="29" spans="1:7" x14ac:dyDescent="0.35">
      <c r="A29" s="2">
        <v>28.4</v>
      </c>
      <c r="B29" s="5">
        <v>15600</v>
      </c>
      <c r="C29" s="5">
        <v>5316</v>
      </c>
      <c r="E29" s="5">
        <f t="shared" si="0"/>
        <v>20916</v>
      </c>
    </row>
    <row r="30" spans="1:7" x14ac:dyDescent="0.35">
      <c r="A30" s="2">
        <v>29.4</v>
      </c>
      <c r="B30" s="5">
        <v>14000</v>
      </c>
      <c r="C30" s="5">
        <v>3020</v>
      </c>
      <c r="D30" s="5" t="s">
        <v>14</v>
      </c>
      <c r="E30" s="5">
        <f t="shared" si="0"/>
        <v>17020</v>
      </c>
    </row>
    <row r="31" spans="1:7" x14ac:dyDescent="0.35">
      <c r="A31" s="2">
        <v>30.4</v>
      </c>
      <c r="B31" s="5">
        <v>13600</v>
      </c>
      <c r="C31" s="5">
        <v>3097</v>
      </c>
      <c r="D31" s="5">
        <v>150</v>
      </c>
      <c r="E31" s="5">
        <f t="shared" si="0"/>
        <v>16847</v>
      </c>
    </row>
    <row r="33" spans="5:5" x14ac:dyDescent="0.35">
      <c r="E33" s="5">
        <f>SUM(E2:E31)</f>
        <v>608389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DAF09-55BA-40C3-B4FD-EEA318454D41}">
  <dimension ref="A1:E33"/>
  <sheetViews>
    <sheetView topLeftCell="A12" workbookViewId="0">
      <selection activeCell="F32" sqref="F32"/>
    </sheetView>
  </sheetViews>
  <sheetFormatPr defaultColWidth="8.81640625" defaultRowHeight="14.5" x14ac:dyDescent="0.35"/>
  <cols>
    <col min="1" max="1" width="13" style="2" customWidth="1"/>
    <col min="2" max="2" width="17.36328125" style="5" customWidth="1"/>
    <col min="3" max="3" width="15.81640625" style="5" customWidth="1"/>
    <col min="4" max="4" width="14.81640625" style="5" customWidth="1"/>
  </cols>
  <sheetData>
    <row r="1" spans="1:4" s="3" customFormat="1" ht="15.5" x14ac:dyDescent="0.35">
      <c r="A1" s="3" t="s">
        <v>11</v>
      </c>
      <c r="B1" s="4" t="s">
        <v>9</v>
      </c>
      <c r="C1" s="4" t="s">
        <v>10</v>
      </c>
      <c r="D1" s="4" t="s">
        <v>4</v>
      </c>
    </row>
    <row r="2" spans="1:4" x14ac:dyDescent="0.35">
      <c r="A2" s="2">
        <v>1.3</v>
      </c>
      <c r="B2" s="5">
        <v>16900</v>
      </c>
      <c r="C2" s="5">
        <v>3026</v>
      </c>
      <c r="D2" s="5">
        <f>C2+B2</f>
        <v>19926</v>
      </c>
    </row>
    <row r="3" spans="1:4" x14ac:dyDescent="0.35">
      <c r="A3" s="2">
        <v>2.2999999999999998</v>
      </c>
      <c r="B3" s="5">
        <v>20500</v>
      </c>
      <c r="C3" s="5">
        <v>4461</v>
      </c>
      <c r="D3" s="5">
        <f t="shared" ref="D3:D32" si="0">C3+B3</f>
        <v>24961</v>
      </c>
    </row>
    <row r="4" spans="1:4" x14ac:dyDescent="0.35">
      <c r="A4" s="2">
        <v>3.3</v>
      </c>
      <c r="B4" s="5">
        <v>22300</v>
      </c>
      <c r="C4" s="5">
        <v>5140</v>
      </c>
      <c r="D4" s="5">
        <f t="shared" si="0"/>
        <v>27440</v>
      </c>
    </row>
    <row r="5" spans="1:4" x14ac:dyDescent="0.35">
      <c r="A5" s="2">
        <v>4.3</v>
      </c>
      <c r="B5" s="5">
        <v>16700</v>
      </c>
      <c r="C5" s="5">
        <v>2284</v>
      </c>
      <c r="D5" s="5">
        <f t="shared" si="0"/>
        <v>18984</v>
      </c>
    </row>
    <row r="6" spans="1:4" x14ac:dyDescent="0.35">
      <c r="A6" s="2">
        <v>5.3</v>
      </c>
      <c r="B6" s="5">
        <v>19500</v>
      </c>
      <c r="C6" s="5">
        <v>4291</v>
      </c>
      <c r="D6" s="5">
        <f t="shared" si="0"/>
        <v>23791</v>
      </c>
    </row>
    <row r="7" spans="1:4" x14ac:dyDescent="0.35">
      <c r="A7" s="2">
        <v>6.3</v>
      </c>
      <c r="B7" s="5">
        <v>14400</v>
      </c>
      <c r="C7" s="5">
        <v>2743</v>
      </c>
      <c r="D7" s="5">
        <f t="shared" si="0"/>
        <v>17143</v>
      </c>
    </row>
    <row r="8" spans="1:4" x14ac:dyDescent="0.35">
      <c r="A8" s="2">
        <v>7.3</v>
      </c>
      <c r="B8" s="5">
        <v>18300</v>
      </c>
      <c r="C8" s="5">
        <v>3934</v>
      </c>
      <c r="D8" s="5">
        <f t="shared" si="0"/>
        <v>22234</v>
      </c>
    </row>
    <row r="9" spans="1:4" x14ac:dyDescent="0.35">
      <c r="A9" s="2">
        <v>8.3000000000000007</v>
      </c>
      <c r="B9" s="5">
        <v>16700</v>
      </c>
      <c r="C9" s="5">
        <v>2805</v>
      </c>
      <c r="D9" s="5">
        <f t="shared" si="0"/>
        <v>19505</v>
      </c>
    </row>
    <row r="10" spans="1:4" x14ac:dyDescent="0.35">
      <c r="A10" s="2">
        <v>9.3000000000000007</v>
      </c>
      <c r="B10" s="5">
        <v>12600</v>
      </c>
      <c r="C10" s="5">
        <v>1877</v>
      </c>
      <c r="D10" s="5">
        <f t="shared" si="0"/>
        <v>14477</v>
      </c>
    </row>
    <row r="11" spans="1:4" x14ac:dyDescent="0.35">
      <c r="A11" s="2">
        <v>10.3</v>
      </c>
      <c r="B11" s="5">
        <v>16850</v>
      </c>
      <c r="C11" s="5">
        <v>2881</v>
      </c>
      <c r="D11" s="5">
        <f t="shared" si="0"/>
        <v>19731</v>
      </c>
    </row>
    <row r="12" spans="1:4" x14ac:dyDescent="0.35">
      <c r="A12" s="2">
        <v>11.3</v>
      </c>
      <c r="B12" s="5">
        <v>14600</v>
      </c>
      <c r="C12" s="5">
        <v>1667</v>
      </c>
      <c r="D12" s="5">
        <f t="shared" si="0"/>
        <v>16267</v>
      </c>
    </row>
    <row r="13" spans="1:4" x14ac:dyDescent="0.35">
      <c r="A13" s="2">
        <v>12.3</v>
      </c>
      <c r="B13" s="5">
        <v>15500</v>
      </c>
      <c r="C13" s="5">
        <v>7527</v>
      </c>
      <c r="D13" s="5">
        <f t="shared" si="0"/>
        <v>23027</v>
      </c>
    </row>
    <row r="14" spans="1:4" x14ac:dyDescent="0.35">
      <c r="A14" s="2">
        <v>13.3</v>
      </c>
      <c r="B14" s="5">
        <v>15700</v>
      </c>
      <c r="C14" s="5">
        <v>2820</v>
      </c>
      <c r="D14" s="5">
        <f t="shared" si="0"/>
        <v>18520</v>
      </c>
    </row>
    <row r="15" spans="1:4" x14ac:dyDescent="0.35">
      <c r="A15" s="2">
        <v>14.3</v>
      </c>
      <c r="B15" s="5">
        <v>14700</v>
      </c>
      <c r="C15" s="5">
        <v>3162</v>
      </c>
      <c r="D15" s="5">
        <f t="shared" si="0"/>
        <v>17862</v>
      </c>
    </row>
    <row r="16" spans="1:4" x14ac:dyDescent="0.35">
      <c r="A16" s="2">
        <v>15.3</v>
      </c>
      <c r="B16" s="5">
        <v>18000</v>
      </c>
      <c r="C16" s="5">
        <v>2567</v>
      </c>
      <c r="D16" s="5">
        <f t="shared" si="0"/>
        <v>20567</v>
      </c>
    </row>
    <row r="17" spans="1:5" x14ac:dyDescent="0.35">
      <c r="A17" s="2">
        <v>16.3</v>
      </c>
      <c r="B17" s="5">
        <v>14200</v>
      </c>
      <c r="C17" s="5">
        <v>7616</v>
      </c>
      <c r="D17" s="5">
        <f t="shared" si="0"/>
        <v>21816</v>
      </c>
    </row>
    <row r="18" spans="1:5" x14ac:dyDescent="0.35">
      <c r="A18" s="2">
        <v>17.3</v>
      </c>
      <c r="B18" s="5">
        <v>19100</v>
      </c>
      <c r="C18" s="5">
        <v>6409</v>
      </c>
      <c r="D18" s="5">
        <f t="shared" si="0"/>
        <v>25509</v>
      </c>
    </row>
    <row r="19" spans="1:5" x14ac:dyDescent="0.35">
      <c r="A19" s="2">
        <v>18.3</v>
      </c>
      <c r="B19" s="5">
        <v>15200</v>
      </c>
      <c r="C19" s="5">
        <v>4000</v>
      </c>
      <c r="D19" s="5">
        <f t="shared" si="0"/>
        <v>19200</v>
      </c>
    </row>
    <row r="20" spans="1:5" x14ac:dyDescent="0.35">
      <c r="A20" s="2">
        <v>19.3</v>
      </c>
      <c r="B20" s="5">
        <v>14300</v>
      </c>
      <c r="C20" s="5">
        <v>2288</v>
      </c>
      <c r="D20" s="5">
        <f t="shared" si="0"/>
        <v>16588</v>
      </c>
    </row>
    <row r="21" spans="1:5" x14ac:dyDescent="0.35">
      <c r="A21" s="2">
        <v>20.3</v>
      </c>
      <c r="B21" s="5">
        <v>18500</v>
      </c>
      <c r="C21" s="5">
        <v>4093</v>
      </c>
      <c r="D21" s="5">
        <f t="shared" si="0"/>
        <v>22593</v>
      </c>
    </row>
    <row r="22" spans="1:5" x14ac:dyDescent="0.35">
      <c r="A22" s="2">
        <v>21.3</v>
      </c>
      <c r="B22" s="5">
        <v>17400</v>
      </c>
      <c r="C22" s="5">
        <v>4005</v>
      </c>
      <c r="D22" s="5">
        <f t="shared" si="0"/>
        <v>21405</v>
      </c>
    </row>
    <row r="23" spans="1:5" x14ac:dyDescent="0.35">
      <c r="A23" s="2">
        <v>22.3</v>
      </c>
      <c r="B23" s="5">
        <v>13800</v>
      </c>
      <c r="C23" s="5">
        <v>2708</v>
      </c>
      <c r="D23" s="5">
        <f t="shared" si="0"/>
        <v>16508</v>
      </c>
    </row>
    <row r="24" spans="1:5" x14ac:dyDescent="0.35">
      <c r="A24" s="2">
        <v>23.3</v>
      </c>
      <c r="B24" s="5">
        <v>16600</v>
      </c>
      <c r="C24" s="5">
        <v>4200</v>
      </c>
      <c r="D24" s="5">
        <f t="shared" si="0"/>
        <v>20800</v>
      </c>
    </row>
    <row r="25" spans="1:5" x14ac:dyDescent="0.35">
      <c r="A25" s="2">
        <v>24.3</v>
      </c>
      <c r="B25" s="5">
        <v>17700</v>
      </c>
      <c r="C25" s="5">
        <v>6409</v>
      </c>
      <c r="D25" s="5">
        <f t="shared" si="0"/>
        <v>24109</v>
      </c>
    </row>
    <row r="26" spans="1:5" x14ac:dyDescent="0.35">
      <c r="A26" s="2">
        <v>25.3</v>
      </c>
      <c r="B26" s="5">
        <v>24000</v>
      </c>
      <c r="C26" s="5">
        <v>3381</v>
      </c>
      <c r="D26" s="5">
        <f t="shared" si="0"/>
        <v>27381</v>
      </c>
    </row>
    <row r="27" spans="1:5" x14ac:dyDescent="0.35">
      <c r="A27" s="2">
        <v>26.3</v>
      </c>
      <c r="B27" s="5">
        <v>13900</v>
      </c>
      <c r="C27" s="5">
        <v>13000</v>
      </c>
      <c r="D27" s="5">
        <f t="shared" si="0"/>
        <v>26900</v>
      </c>
    </row>
    <row r="28" spans="1:5" x14ac:dyDescent="0.35">
      <c r="A28" s="2">
        <v>27.3</v>
      </c>
      <c r="B28" s="5">
        <v>12600</v>
      </c>
      <c r="C28" s="5">
        <v>3268</v>
      </c>
      <c r="D28" s="5">
        <f t="shared" si="0"/>
        <v>15868</v>
      </c>
    </row>
    <row r="29" spans="1:5" x14ac:dyDescent="0.35">
      <c r="A29" s="2">
        <v>28.3</v>
      </c>
      <c r="B29" s="5">
        <v>17200</v>
      </c>
      <c r="C29" s="5">
        <v>4300</v>
      </c>
      <c r="D29" s="5">
        <f t="shared" si="0"/>
        <v>21500</v>
      </c>
      <c r="E29">
        <v>338</v>
      </c>
    </row>
    <row r="30" spans="1:5" x14ac:dyDescent="0.35">
      <c r="A30" s="2">
        <v>29.3</v>
      </c>
      <c r="B30" s="5">
        <v>16350</v>
      </c>
      <c r="C30" s="5">
        <v>2955</v>
      </c>
      <c r="D30" s="5">
        <f t="shared" si="0"/>
        <v>19305</v>
      </c>
      <c r="E30">
        <v>210</v>
      </c>
    </row>
    <row r="31" spans="1:5" x14ac:dyDescent="0.35">
      <c r="A31" s="2">
        <v>30.3</v>
      </c>
      <c r="B31" s="5">
        <v>15500</v>
      </c>
      <c r="C31" s="5">
        <v>5300</v>
      </c>
      <c r="D31" s="5">
        <f t="shared" si="0"/>
        <v>20800</v>
      </c>
    </row>
    <row r="32" spans="1:5" x14ac:dyDescent="0.35">
      <c r="A32" s="2">
        <v>31.3</v>
      </c>
      <c r="B32" s="5">
        <v>12100</v>
      </c>
      <c r="C32" s="5">
        <v>5067</v>
      </c>
      <c r="D32" s="5">
        <f t="shared" si="0"/>
        <v>17167</v>
      </c>
    </row>
    <row r="33" spans="4:4" x14ac:dyDescent="0.35">
      <c r="D33" s="5">
        <f>SUM(D2:D32)</f>
        <v>641884</v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402-5671-495B-B6AB-39AC3C5B1CD5}">
  <dimension ref="A1:D29"/>
  <sheetViews>
    <sheetView workbookViewId="0">
      <selection activeCell="F30" sqref="F30"/>
    </sheetView>
  </sheetViews>
  <sheetFormatPr defaultColWidth="8.81640625" defaultRowHeight="14.5" x14ac:dyDescent="0.35"/>
  <cols>
    <col min="1" max="1" width="13" style="2" customWidth="1"/>
    <col min="2" max="2" width="17.36328125" style="5" customWidth="1"/>
    <col min="3" max="3" width="15.81640625" style="5" customWidth="1"/>
    <col min="4" max="4" width="14.81640625" style="5" customWidth="1"/>
  </cols>
  <sheetData>
    <row r="1" spans="1:4" s="3" customFormat="1" ht="15.5" x14ac:dyDescent="0.35">
      <c r="A1" s="3" t="s">
        <v>11</v>
      </c>
      <c r="B1" s="4" t="s">
        <v>9</v>
      </c>
      <c r="C1" s="4" t="s">
        <v>10</v>
      </c>
      <c r="D1" s="4" t="s">
        <v>4</v>
      </c>
    </row>
    <row r="2" spans="1:4" x14ac:dyDescent="0.35">
      <c r="A2" s="2">
        <v>1.2</v>
      </c>
    </row>
    <row r="3" spans="1:4" x14ac:dyDescent="0.35">
      <c r="A3" s="2">
        <v>2.2000000000000002</v>
      </c>
      <c r="B3" s="5">
        <v>22000</v>
      </c>
      <c r="C3" s="5">
        <v>3629</v>
      </c>
      <c r="D3" s="5">
        <f>B3+C3</f>
        <v>25629</v>
      </c>
    </row>
    <row r="4" spans="1:4" x14ac:dyDescent="0.35">
      <c r="A4" s="2">
        <v>3.2</v>
      </c>
      <c r="B4" s="5">
        <v>16900</v>
      </c>
      <c r="C4" s="5">
        <v>2542</v>
      </c>
      <c r="D4" s="5">
        <f t="shared" ref="D4:D29" si="0">B4+C4</f>
        <v>19442</v>
      </c>
    </row>
    <row r="5" spans="1:4" x14ac:dyDescent="0.35">
      <c r="A5" s="2">
        <v>4.2</v>
      </c>
      <c r="B5" s="5">
        <v>19000</v>
      </c>
      <c r="C5" s="5">
        <v>3317</v>
      </c>
      <c r="D5" s="5">
        <f t="shared" si="0"/>
        <v>22317</v>
      </c>
    </row>
    <row r="6" spans="1:4" x14ac:dyDescent="0.35">
      <c r="A6" s="2">
        <v>5.2</v>
      </c>
      <c r="B6" s="5">
        <v>16100</v>
      </c>
      <c r="C6" s="5">
        <v>4323</v>
      </c>
      <c r="D6" s="5">
        <f t="shared" si="0"/>
        <v>20423</v>
      </c>
    </row>
    <row r="7" spans="1:4" x14ac:dyDescent="0.35">
      <c r="A7" s="2">
        <v>6.2</v>
      </c>
      <c r="B7" s="5">
        <v>17000</v>
      </c>
      <c r="C7" s="5">
        <v>4492</v>
      </c>
      <c r="D7" s="5">
        <f t="shared" si="0"/>
        <v>21492</v>
      </c>
    </row>
    <row r="8" spans="1:4" x14ac:dyDescent="0.35">
      <c r="A8" s="2">
        <v>7.2</v>
      </c>
      <c r="B8" s="5">
        <v>15700</v>
      </c>
      <c r="C8" s="5">
        <v>4777</v>
      </c>
      <c r="D8" s="5">
        <f t="shared" si="0"/>
        <v>20477</v>
      </c>
    </row>
    <row r="9" spans="1:4" x14ac:dyDescent="0.35">
      <c r="A9" s="2">
        <v>8.1999999999999993</v>
      </c>
      <c r="B9" s="5">
        <v>19700</v>
      </c>
      <c r="C9" s="5">
        <v>5626</v>
      </c>
      <c r="D9" s="5">
        <f t="shared" si="0"/>
        <v>25326</v>
      </c>
    </row>
    <row r="10" spans="1:4" x14ac:dyDescent="0.35">
      <c r="A10" s="2">
        <v>9.1999999999999993</v>
      </c>
      <c r="B10" s="5">
        <v>20300</v>
      </c>
      <c r="C10" s="5">
        <v>2790</v>
      </c>
      <c r="D10" s="5">
        <f t="shared" si="0"/>
        <v>23090</v>
      </c>
    </row>
    <row r="11" spans="1:4" x14ac:dyDescent="0.35">
      <c r="A11" s="2">
        <v>10.199999999999999</v>
      </c>
      <c r="B11" s="5">
        <v>19400</v>
      </c>
      <c r="C11" s="5">
        <v>1926</v>
      </c>
      <c r="D11" s="5">
        <f t="shared" si="0"/>
        <v>21326</v>
      </c>
    </row>
    <row r="12" spans="1:4" x14ac:dyDescent="0.35">
      <c r="A12" s="2">
        <v>11.2</v>
      </c>
      <c r="B12" s="5">
        <v>18300</v>
      </c>
      <c r="C12" s="5">
        <v>3732</v>
      </c>
      <c r="D12" s="5">
        <f t="shared" si="0"/>
        <v>22032</v>
      </c>
    </row>
    <row r="13" spans="1:4" x14ac:dyDescent="0.35">
      <c r="A13" s="2">
        <v>12.2</v>
      </c>
      <c r="B13" s="5">
        <v>19000</v>
      </c>
      <c r="C13" s="5">
        <v>2247</v>
      </c>
      <c r="D13" s="5">
        <f t="shared" si="0"/>
        <v>21247</v>
      </c>
    </row>
    <row r="14" spans="1:4" x14ac:dyDescent="0.35">
      <c r="A14" s="2">
        <v>13.2</v>
      </c>
      <c r="B14" s="5">
        <v>20700</v>
      </c>
      <c r="C14" s="5">
        <f>96+3324</f>
        <v>3420</v>
      </c>
      <c r="D14" s="5">
        <f t="shared" si="0"/>
        <v>24120</v>
      </c>
    </row>
    <row r="15" spans="1:4" x14ac:dyDescent="0.35">
      <c r="A15" s="2">
        <v>14.2</v>
      </c>
      <c r="B15" s="5">
        <v>21000</v>
      </c>
      <c r="C15" s="5">
        <v>4878</v>
      </c>
      <c r="D15" s="5">
        <f t="shared" si="0"/>
        <v>25878</v>
      </c>
    </row>
    <row r="16" spans="1:4" x14ac:dyDescent="0.35">
      <c r="A16" s="2">
        <v>15.2</v>
      </c>
      <c r="B16" s="5">
        <v>16450</v>
      </c>
      <c r="C16" s="5">
        <f>430+3726</f>
        <v>4156</v>
      </c>
      <c r="D16" s="5">
        <f t="shared" si="0"/>
        <v>20606</v>
      </c>
    </row>
    <row r="17" spans="1:4" x14ac:dyDescent="0.35">
      <c r="A17" s="2">
        <v>16.2</v>
      </c>
      <c r="B17" s="5">
        <v>13700</v>
      </c>
      <c r="C17" s="5">
        <v>3875</v>
      </c>
      <c r="D17" s="5">
        <f t="shared" si="0"/>
        <v>17575</v>
      </c>
    </row>
    <row r="18" spans="1:4" x14ac:dyDescent="0.35">
      <c r="A18" s="2">
        <v>17.2</v>
      </c>
      <c r="B18" s="5">
        <v>23300</v>
      </c>
      <c r="C18" s="5">
        <v>6110</v>
      </c>
      <c r="D18" s="5">
        <f t="shared" si="0"/>
        <v>29410</v>
      </c>
    </row>
    <row r="19" spans="1:4" x14ac:dyDescent="0.35">
      <c r="A19" s="2">
        <v>18.2</v>
      </c>
      <c r="B19" s="5">
        <v>11300</v>
      </c>
      <c r="C19" s="5">
        <v>5125</v>
      </c>
      <c r="D19" s="5">
        <f t="shared" si="0"/>
        <v>16425</v>
      </c>
    </row>
    <row r="20" spans="1:4" x14ac:dyDescent="0.35">
      <c r="A20" s="2">
        <v>19.2</v>
      </c>
      <c r="D20" s="5">
        <v>25000</v>
      </c>
    </row>
    <row r="21" spans="1:4" x14ac:dyDescent="0.35">
      <c r="A21" s="2">
        <v>20.2</v>
      </c>
      <c r="B21" s="5">
        <v>17500</v>
      </c>
      <c r="C21" s="5">
        <v>3580</v>
      </c>
      <c r="D21" s="5">
        <f t="shared" si="0"/>
        <v>21080</v>
      </c>
    </row>
    <row r="22" spans="1:4" x14ac:dyDescent="0.35">
      <c r="A22" s="2">
        <v>21.2</v>
      </c>
      <c r="B22" s="5">
        <v>18350</v>
      </c>
      <c r="C22" s="5">
        <v>4182</v>
      </c>
      <c r="D22" s="5">
        <f t="shared" si="0"/>
        <v>22532</v>
      </c>
    </row>
    <row r="23" spans="1:4" x14ac:dyDescent="0.35">
      <c r="A23" s="2">
        <v>22.2</v>
      </c>
      <c r="B23" s="5">
        <v>17900</v>
      </c>
      <c r="C23" s="5">
        <v>3449</v>
      </c>
      <c r="D23" s="5">
        <f t="shared" si="0"/>
        <v>21349</v>
      </c>
    </row>
    <row r="24" spans="1:4" x14ac:dyDescent="0.35">
      <c r="A24" s="2">
        <v>23.2</v>
      </c>
      <c r="C24" s="5">
        <v>4381</v>
      </c>
      <c r="D24" s="5">
        <f t="shared" si="0"/>
        <v>4381</v>
      </c>
    </row>
    <row r="25" spans="1:4" x14ac:dyDescent="0.35">
      <c r="A25" s="2">
        <v>24.2</v>
      </c>
      <c r="D25" s="5">
        <f t="shared" si="0"/>
        <v>0</v>
      </c>
    </row>
    <row r="26" spans="1:4" x14ac:dyDescent="0.35">
      <c r="A26" s="2">
        <v>25.2</v>
      </c>
      <c r="D26" s="5">
        <v>19000</v>
      </c>
    </row>
    <row r="27" spans="1:4" x14ac:dyDescent="0.35">
      <c r="A27" s="2">
        <v>26.2</v>
      </c>
      <c r="D27" s="5">
        <v>20200</v>
      </c>
    </row>
    <row r="28" spans="1:4" x14ac:dyDescent="0.35">
      <c r="A28" s="2">
        <v>27.2</v>
      </c>
      <c r="B28" s="5">
        <v>17600</v>
      </c>
      <c r="C28" s="5">
        <v>5188</v>
      </c>
      <c r="D28" s="5">
        <f t="shared" si="0"/>
        <v>22788</v>
      </c>
    </row>
    <row r="29" spans="1:4" x14ac:dyDescent="0.35">
      <c r="A29" s="2">
        <v>28.2</v>
      </c>
      <c r="B29" s="5">
        <v>14300</v>
      </c>
      <c r="C29" s="5">
        <v>5898</v>
      </c>
      <c r="D29" s="5">
        <f t="shared" si="0"/>
        <v>20198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B9AC-6FE4-46ED-936D-41EF12543BDE}">
  <dimension ref="A1:S33"/>
  <sheetViews>
    <sheetView topLeftCell="A7" zoomScale="130" zoomScaleNormal="130" workbookViewId="0">
      <selection activeCell="G24" sqref="G24"/>
    </sheetView>
  </sheetViews>
  <sheetFormatPr defaultColWidth="8.81640625" defaultRowHeight="14.5" x14ac:dyDescent="0.35"/>
  <cols>
    <col min="1" max="1" width="12" style="1" customWidth="1"/>
    <col min="2" max="2" width="14" style="1" customWidth="1"/>
    <col min="3" max="3" width="15.453125" style="1" customWidth="1"/>
    <col min="4" max="4" width="14.81640625" style="1" customWidth="1"/>
    <col min="5" max="5" width="16" style="1" customWidth="1"/>
    <col min="6" max="7" width="16.453125" style="2" customWidth="1"/>
    <col min="8" max="8" width="23.453125" style="2" customWidth="1"/>
    <col min="9" max="9" width="18.36328125" style="2" customWidth="1"/>
    <col min="10" max="10" width="13.36328125" style="2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2" t="s">
        <v>9</v>
      </c>
      <c r="H1" s="2" t="s">
        <v>5</v>
      </c>
      <c r="I1" s="2" t="s">
        <v>6</v>
      </c>
      <c r="J1" s="2" t="s">
        <v>7</v>
      </c>
    </row>
    <row r="2" spans="1:11" x14ac:dyDescent="0.35">
      <c r="A2" s="1">
        <v>1.6</v>
      </c>
      <c r="B2" s="1">
        <v>64</v>
      </c>
      <c r="C2" s="1">
        <v>0</v>
      </c>
      <c r="D2" s="1">
        <v>0</v>
      </c>
      <c r="E2" s="1">
        <f>SUM(B2:D2)</f>
        <v>64</v>
      </c>
      <c r="F2" s="2">
        <v>440</v>
      </c>
      <c r="G2" s="2">
        <v>3738</v>
      </c>
      <c r="H2" s="2">
        <f>F2+G2</f>
        <v>4178</v>
      </c>
      <c r="I2" s="2">
        <v>4116</v>
      </c>
      <c r="J2" s="2">
        <f>H2-I2</f>
        <v>62</v>
      </c>
    </row>
    <row r="3" spans="1:11" x14ac:dyDescent="0.35">
      <c r="A3" s="1">
        <v>2.6</v>
      </c>
      <c r="B3" s="1">
        <v>26</v>
      </c>
      <c r="C3" s="1">
        <v>12</v>
      </c>
      <c r="D3" s="1">
        <v>0</v>
      </c>
      <c r="E3" s="1">
        <f t="shared" ref="E3:E32" si="0">SUM(B3:D3)</f>
        <v>38</v>
      </c>
      <c r="F3" s="2">
        <v>234</v>
      </c>
      <c r="G3" s="2">
        <v>4434</v>
      </c>
      <c r="H3" s="2">
        <f t="shared" ref="H3:H31" si="1">F3+G3</f>
        <v>4668</v>
      </c>
      <c r="I3" s="2">
        <v>4629</v>
      </c>
      <c r="J3" s="2">
        <f t="shared" ref="J3:J31" si="2">H3-I3</f>
        <v>39</v>
      </c>
      <c r="K3" t="s">
        <v>18</v>
      </c>
    </row>
    <row r="4" spans="1:11" x14ac:dyDescent="0.35">
      <c r="A4" s="1">
        <v>3.6</v>
      </c>
      <c r="B4" s="1">
        <v>5</v>
      </c>
      <c r="C4" s="1">
        <v>0</v>
      </c>
      <c r="D4" s="1">
        <v>0</v>
      </c>
      <c r="E4" s="1">
        <f t="shared" si="0"/>
        <v>5</v>
      </c>
      <c r="F4" s="2">
        <v>1023</v>
      </c>
      <c r="G4" s="2">
        <v>2507</v>
      </c>
      <c r="H4" s="2">
        <f t="shared" si="1"/>
        <v>3530</v>
      </c>
      <c r="I4" s="2">
        <v>3539</v>
      </c>
      <c r="J4" s="2">
        <f t="shared" si="2"/>
        <v>-9</v>
      </c>
    </row>
    <row r="5" spans="1:11" x14ac:dyDescent="0.35">
      <c r="A5" s="1">
        <v>4.5999999999999996</v>
      </c>
      <c r="B5" s="1">
        <v>4</v>
      </c>
      <c r="C5" s="1">
        <v>67</v>
      </c>
      <c r="D5" s="1">
        <v>0</v>
      </c>
      <c r="E5" s="1">
        <f t="shared" si="0"/>
        <v>71</v>
      </c>
      <c r="G5" s="2">
        <v>7519</v>
      </c>
      <c r="H5" s="2">
        <f t="shared" si="1"/>
        <v>7519</v>
      </c>
      <c r="I5" s="2">
        <v>7448</v>
      </c>
      <c r="J5" s="2">
        <f t="shared" si="2"/>
        <v>71</v>
      </c>
    </row>
    <row r="6" spans="1:11" x14ac:dyDescent="0.35">
      <c r="A6" s="1">
        <v>5.6</v>
      </c>
      <c r="B6" s="1">
        <v>37</v>
      </c>
      <c r="C6" s="1">
        <v>0</v>
      </c>
      <c r="D6" s="1">
        <v>0</v>
      </c>
      <c r="E6" s="1">
        <f t="shared" si="0"/>
        <v>37</v>
      </c>
      <c r="F6" s="2">
        <v>1018</v>
      </c>
      <c r="G6" s="2">
        <v>6168</v>
      </c>
      <c r="H6" s="2">
        <f t="shared" si="1"/>
        <v>7186</v>
      </c>
      <c r="I6" s="2">
        <v>7169</v>
      </c>
      <c r="J6" s="2">
        <f t="shared" si="2"/>
        <v>17</v>
      </c>
    </row>
    <row r="7" spans="1:11" x14ac:dyDescent="0.35">
      <c r="A7" s="1">
        <v>6.6</v>
      </c>
      <c r="B7" s="1">
        <v>0</v>
      </c>
      <c r="C7" s="1">
        <v>0</v>
      </c>
      <c r="D7" s="1">
        <v>0</v>
      </c>
      <c r="E7" s="1">
        <f t="shared" si="0"/>
        <v>0</v>
      </c>
      <c r="F7" s="2">
        <v>202</v>
      </c>
      <c r="G7" s="2">
        <v>3628</v>
      </c>
      <c r="H7" s="2">
        <f t="shared" si="1"/>
        <v>3830</v>
      </c>
      <c r="I7" s="2">
        <v>3829</v>
      </c>
      <c r="J7" s="2">
        <f t="shared" si="2"/>
        <v>1</v>
      </c>
    </row>
    <row r="8" spans="1:11" x14ac:dyDescent="0.35">
      <c r="A8" s="1">
        <v>7.6</v>
      </c>
      <c r="B8" s="1">
        <v>30</v>
      </c>
      <c r="C8" s="1">
        <v>0</v>
      </c>
      <c r="D8" s="1">
        <v>0</v>
      </c>
      <c r="E8" s="1">
        <f t="shared" si="0"/>
        <v>30</v>
      </c>
      <c r="F8" s="2">
        <v>875</v>
      </c>
      <c r="G8" s="2">
        <v>2023</v>
      </c>
      <c r="H8" s="2">
        <f t="shared" si="1"/>
        <v>2898</v>
      </c>
      <c r="I8" s="2">
        <v>2864</v>
      </c>
      <c r="J8" s="2">
        <f t="shared" si="2"/>
        <v>34</v>
      </c>
    </row>
    <row r="9" spans="1:11" x14ac:dyDescent="0.35">
      <c r="A9" s="1">
        <v>8.6</v>
      </c>
      <c r="B9" s="1">
        <v>24</v>
      </c>
      <c r="C9" s="1">
        <v>0</v>
      </c>
      <c r="D9" s="1">
        <v>0</v>
      </c>
      <c r="E9" s="1">
        <f t="shared" si="0"/>
        <v>24</v>
      </c>
      <c r="G9" s="2">
        <v>3187</v>
      </c>
      <c r="H9" s="2">
        <f t="shared" si="1"/>
        <v>3187</v>
      </c>
      <c r="I9" s="2">
        <v>3162</v>
      </c>
      <c r="J9" s="2">
        <f t="shared" si="2"/>
        <v>25</v>
      </c>
    </row>
    <row r="10" spans="1:11" x14ac:dyDescent="0.35">
      <c r="A10" s="1">
        <v>9.6</v>
      </c>
      <c r="E10" s="1">
        <v>60</v>
      </c>
      <c r="F10" s="2">
        <v>1695</v>
      </c>
      <c r="G10" s="2">
        <v>6596</v>
      </c>
      <c r="H10" s="2">
        <f t="shared" si="1"/>
        <v>8291</v>
      </c>
      <c r="I10" s="2">
        <v>8230</v>
      </c>
      <c r="J10" s="2">
        <f t="shared" si="2"/>
        <v>61</v>
      </c>
    </row>
    <row r="11" spans="1:11" x14ac:dyDescent="0.35">
      <c r="A11" s="1">
        <v>10.6</v>
      </c>
      <c r="E11" s="1">
        <v>80</v>
      </c>
      <c r="F11" s="2">
        <v>1234</v>
      </c>
      <c r="G11" s="2">
        <v>5703</v>
      </c>
      <c r="H11" s="2">
        <f t="shared" si="1"/>
        <v>6937</v>
      </c>
      <c r="I11" s="2">
        <v>6857</v>
      </c>
      <c r="J11" s="2">
        <f t="shared" si="2"/>
        <v>80</v>
      </c>
    </row>
    <row r="12" spans="1:11" x14ac:dyDescent="0.35">
      <c r="A12" s="1">
        <v>11.6</v>
      </c>
      <c r="E12" s="1">
        <f t="shared" si="0"/>
        <v>0</v>
      </c>
      <c r="F12" s="2">
        <v>1610</v>
      </c>
      <c r="G12" s="2">
        <v>7033</v>
      </c>
      <c r="H12" s="2">
        <f t="shared" si="1"/>
        <v>8643</v>
      </c>
      <c r="I12" s="2">
        <v>8644</v>
      </c>
      <c r="J12" s="2">
        <f t="shared" si="2"/>
        <v>-1</v>
      </c>
    </row>
    <row r="13" spans="1:11" x14ac:dyDescent="0.35">
      <c r="A13" s="1">
        <v>12.6</v>
      </c>
      <c r="B13" s="1">
        <v>0</v>
      </c>
      <c r="C13" s="1">
        <v>0</v>
      </c>
      <c r="D13" s="1">
        <v>0</v>
      </c>
      <c r="E13" s="1">
        <f t="shared" si="0"/>
        <v>0</v>
      </c>
      <c r="F13" s="2">
        <v>550</v>
      </c>
      <c r="G13" s="2">
        <v>5968</v>
      </c>
      <c r="H13" s="2">
        <f t="shared" si="1"/>
        <v>6518</v>
      </c>
      <c r="I13" s="2">
        <v>6515</v>
      </c>
      <c r="J13" s="2">
        <f t="shared" si="2"/>
        <v>3</v>
      </c>
    </row>
    <row r="14" spans="1:11" x14ac:dyDescent="0.35">
      <c r="A14" s="1">
        <v>13.6</v>
      </c>
      <c r="B14" s="1">
        <v>30</v>
      </c>
      <c r="C14" s="1">
        <v>0</v>
      </c>
      <c r="E14" s="1">
        <f t="shared" si="0"/>
        <v>30</v>
      </c>
      <c r="F14" s="2">
        <v>600</v>
      </c>
      <c r="G14" s="2">
        <v>6037</v>
      </c>
      <c r="H14" s="2">
        <f t="shared" si="1"/>
        <v>6637</v>
      </c>
      <c r="I14" s="2">
        <v>6608</v>
      </c>
      <c r="J14" s="2">
        <f t="shared" si="2"/>
        <v>29</v>
      </c>
    </row>
    <row r="15" spans="1:11" x14ac:dyDescent="0.35">
      <c r="A15" s="1">
        <v>14.6</v>
      </c>
      <c r="E15" s="1">
        <f t="shared" si="0"/>
        <v>0</v>
      </c>
      <c r="F15" s="2">
        <v>882</v>
      </c>
      <c r="G15" s="2">
        <v>3563</v>
      </c>
      <c r="H15" s="2">
        <f t="shared" si="1"/>
        <v>4445</v>
      </c>
      <c r="I15" s="2">
        <v>4440</v>
      </c>
      <c r="J15" s="2">
        <f t="shared" si="2"/>
        <v>5</v>
      </c>
    </row>
    <row r="16" spans="1:11" x14ac:dyDescent="0.35">
      <c r="A16" s="1">
        <v>15.6</v>
      </c>
      <c r="B16" s="1">
        <v>0</v>
      </c>
      <c r="C16" s="1">
        <v>34</v>
      </c>
      <c r="D16" s="1">
        <v>0</v>
      </c>
      <c r="E16" s="1">
        <f t="shared" si="0"/>
        <v>34</v>
      </c>
      <c r="F16" s="2">
        <v>1155</v>
      </c>
      <c r="G16" s="2">
        <v>1167</v>
      </c>
      <c r="H16" s="2">
        <f t="shared" si="1"/>
        <v>2322</v>
      </c>
      <c r="I16" s="2">
        <v>2288</v>
      </c>
      <c r="J16" s="2">
        <f t="shared" si="2"/>
        <v>34</v>
      </c>
    </row>
    <row r="17" spans="1:19" x14ac:dyDescent="0.35">
      <c r="A17" s="1">
        <v>16.600000000000001</v>
      </c>
      <c r="B17" s="1">
        <v>26</v>
      </c>
      <c r="C17" s="1">
        <v>0</v>
      </c>
      <c r="D17" s="1">
        <v>0</v>
      </c>
      <c r="E17" s="1">
        <f t="shared" si="0"/>
        <v>26</v>
      </c>
      <c r="F17" s="2">
        <v>2628</v>
      </c>
      <c r="G17" s="2">
        <v>4562</v>
      </c>
      <c r="H17" s="2">
        <f t="shared" si="1"/>
        <v>7190</v>
      </c>
      <c r="I17" s="2">
        <v>7169</v>
      </c>
      <c r="J17" s="2">
        <f t="shared" si="2"/>
        <v>21</v>
      </c>
    </row>
    <row r="18" spans="1:19" x14ac:dyDescent="0.35">
      <c r="A18" s="1">
        <v>17.600000000000001</v>
      </c>
      <c r="E18" s="1">
        <v>10</v>
      </c>
      <c r="F18" s="2">
        <v>282</v>
      </c>
      <c r="G18" s="2">
        <v>2743</v>
      </c>
      <c r="H18" s="2">
        <f t="shared" si="1"/>
        <v>3025</v>
      </c>
      <c r="I18" s="2">
        <v>2994</v>
      </c>
      <c r="J18" s="2">
        <f t="shared" si="2"/>
        <v>31</v>
      </c>
    </row>
    <row r="19" spans="1:19" x14ac:dyDescent="0.35">
      <c r="A19" s="1">
        <v>18.600000000000001</v>
      </c>
      <c r="E19" s="1">
        <f t="shared" si="0"/>
        <v>0</v>
      </c>
      <c r="F19" s="2">
        <v>1435</v>
      </c>
      <c r="G19" s="2">
        <v>7874</v>
      </c>
      <c r="H19" s="2">
        <f t="shared" si="1"/>
        <v>9309</v>
      </c>
      <c r="I19" s="2">
        <v>9299</v>
      </c>
      <c r="J19" s="2">
        <f t="shared" si="2"/>
        <v>10</v>
      </c>
    </row>
    <row r="20" spans="1:19" x14ac:dyDescent="0.35">
      <c r="A20" s="1">
        <v>19.600000000000001</v>
      </c>
      <c r="E20" s="1">
        <f t="shared" si="0"/>
        <v>0</v>
      </c>
      <c r="F20" s="2">
        <v>1135</v>
      </c>
      <c r="G20" s="2">
        <v>5788</v>
      </c>
      <c r="H20" s="2">
        <f t="shared" si="1"/>
        <v>6923</v>
      </c>
      <c r="I20" s="2">
        <v>6923</v>
      </c>
      <c r="J20" s="2">
        <f t="shared" si="2"/>
        <v>0</v>
      </c>
    </row>
    <row r="21" spans="1:19" x14ac:dyDescent="0.35">
      <c r="A21" s="1">
        <v>20.6</v>
      </c>
      <c r="E21" s="1">
        <f t="shared" si="0"/>
        <v>0</v>
      </c>
      <c r="F21" s="2">
        <v>55</v>
      </c>
      <c r="G21" s="2">
        <v>9426</v>
      </c>
      <c r="H21" s="2">
        <f t="shared" si="1"/>
        <v>9481</v>
      </c>
      <c r="I21" s="2">
        <v>9480</v>
      </c>
      <c r="J21" s="2">
        <f t="shared" si="2"/>
        <v>1</v>
      </c>
    </row>
    <row r="22" spans="1:19" x14ac:dyDescent="0.35">
      <c r="A22" s="1">
        <v>21.6</v>
      </c>
      <c r="E22" s="1">
        <v>39</v>
      </c>
      <c r="F22" s="2">
        <v>230</v>
      </c>
      <c r="G22" s="2">
        <v>6481</v>
      </c>
      <c r="H22" s="2">
        <f t="shared" si="1"/>
        <v>6711</v>
      </c>
      <c r="I22" s="2">
        <v>6672</v>
      </c>
      <c r="J22" s="2">
        <f t="shared" si="2"/>
        <v>39</v>
      </c>
    </row>
    <row r="23" spans="1:19" x14ac:dyDescent="0.35">
      <c r="A23" s="1">
        <v>22.6</v>
      </c>
      <c r="E23" s="1">
        <f t="shared" si="0"/>
        <v>0</v>
      </c>
      <c r="H23" s="2">
        <f t="shared" si="1"/>
        <v>0</v>
      </c>
      <c r="J23" s="2">
        <f t="shared" si="2"/>
        <v>0</v>
      </c>
    </row>
    <row r="24" spans="1:19" x14ac:dyDescent="0.35">
      <c r="A24" s="1">
        <v>23.6</v>
      </c>
      <c r="E24" s="1">
        <f t="shared" si="0"/>
        <v>0</v>
      </c>
      <c r="H24" s="2">
        <f t="shared" si="1"/>
        <v>0</v>
      </c>
      <c r="J24" s="2">
        <f t="shared" si="2"/>
        <v>0</v>
      </c>
    </row>
    <row r="25" spans="1:19" x14ac:dyDescent="0.35">
      <c r="A25" s="1">
        <v>24.6</v>
      </c>
      <c r="E25" s="1">
        <f t="shared" si="0"/>
        <v>0</v>
      </c>
      <c r="H25" s="2">
        <f t="shared" si="1"/>
        <v>0</v>
      </c>
      <c r="J25" s="2">
        <f t="shared" si="2"/>
        <v>0</v>
      </c>
    </row>
    <row r="26" spans="1:19" x14ac:dyDescent="0.35">
      <c r="A26" s="1">
        <v>25.6</v>
      </c>
      <c r="E26" s="1">
        <f t="shared" si="0"/>
        <v>0</v>
      </c>
      <c r="H26" s="2">
        <f t="shared" si="1"/>
        <v>0</v>
      </c>
      <c r="J26" s="2">
        <f t="shared" si="2"/>
        <v>0</v>
      </c>
    </row>
    <row r="27" spans="1:19" x14ac:dyDescent="0.35">
      <c r="A27" s="1">
        <v>26.6</v>
      </c>
      <c r="E27" s="1">
        <f t="shared" si="0"/>
        <v>0</v>
      </c>
      <c r="H27" s="2">
        <f t="shared" si="1"/>
        <v>0</v>
      </c>
      <c r="J27" s="2">
        <f t="shared" si="2"/>
        <v>0</v>
      </c>
    </row>
    <row r="28" spans="1:19" x14ac:dyDescent="0.35">
      <c r="A28" s="1">
        <v>27.6</v>
      </c>
      <c r="E28" s="1">
        <f t="shared" si="0"/>
        <v>0</v>
      </c>
      <c r="H28" s="2">
        <f t="shared" si="1"/>
        <v>0</v>
      </c>
      <c r="J28" s="2">
        <f t="shared" si="2"/>
        <v>0</v>
      </c>
    </row>
    <row r="29" spans="1:19" x14ac:dyDescent="0.35">
      <c r="A29" s="1">
        <v>28.6</v>
      </c>
      <c r="E29" s="1">
        <f t="shared" si="0"/>
        <v>0</v>
      </c>
      <c r="H29" s="2">
        <f t="shared" si="1"/>
        <v>0</v>
      </c>
      <c r="J29" s="2">
        <f t="shared" si="2"/>
        <v>0</v>
      </c>
      <c r="S29" t="s">
        <v>14</v>
      </c>
    </row>
    <row r="30" spans="1:19" x14ac:dyDescent="0.35">
      <c r="A30" s="1">
        <v>29.6</v>
      </c>
      <c r="E30" s="1">
        <f t="shared" si="0"/>
        <v>0</v>
      </c>
      <c r="H30" s="2">
        <f t="shared" si="1"/>
        <v>0</v>
      </c>
      <c r="J30" s="2">
        <f t="shared" si="2"/>
        <v>0</v>
      </c>
    </row>
    <row r="31" spans="1:19" x14ac:dyDescent="0.35">
      <c r="A31" s="1">
        <v>30.6</v>
      </c>
      <c r="E31" s="1">
        <f t="shared" si="0"/>
        <v>0</v>
      </c>
      <c r="H31" s="2">
        <f t="shared" si="1"/>
        <v>0</v>
      </c>
      <c r="J31" s="2">
        <f t="shared" si="2"/>
        <v>0</v>
      </c>
    </row>
    <row r="32" spans="1:19" s="2" customFormat="1" x14ac:dyDescent="0.35">
      <c r="A32" s="1">
        <v>31.6</v>
      </c>
      <c r="B32" s="1"/>
      <c r="C32" s="1"/>
      <c r="D32" s="1"/>
      <c r="E32" s="1">
        <f t="shared" si="0"/>
        <v>0</v>
      </c>
      <c r="K32"/>
      <c r="L32"/>
      <c r="M32"/>
      <c r="N32"/>
      <c r="O32"/>
      <c r="P32"/>
      <c r="Q32"/>
      <c r="R32"/>
      <c r="S32"/>
    </row>
    <row r="33" spans="5:10" x14ac:dyDescent="0.35">
      <c r="E33" s="1">
        <f>SUM(E2:E32)</f>
        <v>548</v>
      </c>
      <c r="J33" s="2">
        <f>SUM(J2:J31)</f>
        <v>553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2B0C9-6264-4AC2-BA2B-6EEC8C979809}">
  <dimension ref="A1:S33"/>
  <sheetViews>
    <sheetView workbookViewId="0">
      <selection activeCell="F22" sqref="F22"/>
    </sheetView>
  </sheetViews>
  <sheetFormatPr defaultColWidth="8.81640625" defaultRowHeight="14.5" x14ac:dyDescent="0.35"/>
  <cols>
    <col min="1" max="1" width="12" style="1" customWidth="1"/>
    <col min="2" max="2" width="14" style="1" customWidth="1"/>
    <col min="3" max="3" width="15.453125" style="1" customWidth="1"/>
    <col min="4" max="4" width="14.81640625" style="1" customWidth="1"/>
    <col min="5" max="5" width="16" style="1" customWidth="1"/>
    <col min="6" max="7" width="16.453125" style="2" customWidth="1"/>
    <col min="8" max="8" width="23.453125" style="2" customWidth="1"/>
    <col min="9" max="9" width="18.36328125" style="2" customWidth="1"/>
    <col min="10" max="10" width="13.36328125" style="2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2" t="s">
        <v>9</v>
      </c>
      <c r="H1" s="2" t="s">
        <v>5</v>
      </c>
      <c r="I1" s="2" t="s">
        <v>6</v>
      </c>
      <c r="J1" s="2" t="s">
        <v>7</v>
      </c>
    </row>
    <row r="2" spans="1:11" x14ac:dyDescent="0.35">
      <c r="A2" s="1">
        <v>1.5</v>
      </c>
      <c r="B2" s="1">
        <v>6</v>
      </c>
      <c r="D2" s="1">
        <v>34</v>
      </c>
      <c r="E2" s="1">
        <f>SUM(B2:D2)</f>
        <v>40</v>
      </c>
      <c r="F2" s="2">
        <v>1243</v>
      </c>
      <c r="G2" s="2">
        <v>2866</v>
      </c>
      <c r="H2" s="2">
        <f>F2+G2</f>
        <v>4109</v>
      </c>
      <c r="I2" s="2">
        <v>4069</v>
      </c>
      <c r="J2" s="2">
        <f>H2-I2</f>
        <v>40</v>
      </c>
    </row>
    <row r="3" spans="1:11" x14ac:dyDescent="0.35">
      <c r="A3" s="1">
        <v>2.5</v>
      </c>
      <c r="B3" s="1">
        <v>0</v>
      </c>
      <c r="C3" s="1">
        <v>30</v>
      </c>
      <c r="D3" s="1">
        <v>0</v>
      </c>
      <c r="E3" s="1">
        <f t="shared" ref="E3:E32" si="0">SUM(B3:D3)</f>
        <v>30</v>
      </c>
      <c r="F3" s="2">
        <v>755</v>
      </c>
      <c r="G3" s="2">
        <v>4240</v>
      </c>
      <c r="H3" s="2">
        <f t="shared" ref="H3:H32" si="1">F3+G3</f>
        <v>4995</v>
      </c>
      <c r="I3" s="2">
        <v>4965</v>
      </c>
      <c r="J3" s="2">
        <f t="shared" ref="J3:J32" si="2">H3-I3</f>
        <v>30</v>
      </c>
    </row>
    <row r="4" spans="1:11" x14ac:dyDescent="0.35">
      <c r="A4" s="1">
        <v>3.5</v>
      </c>
      <c r="B4" s="1">
        <v>2</v>
      </c>
      <c r="C4" s="1">
        <v>4</v>
      </c>
      <c r="D4" s="1">
        <v>44</v>
      </c>
      <c r="E4" s="1">
        <f t="shared" si="0"/>
        <v>50</v>
      </c>
      <c r="F4" s="2">
        <v>1002</v>
      </c>
      <c r="G4" s="2">
        <v>6003</v>
      </c>
      <c r="H4" s="2">
        <f t="shared" si="1"/>
        <v>7005</v>
      </c>
      <c r="I4" s="2">
        <v>6953</v>
      </c>
      <c r="J4" s="2">
        <f t="shared" si="2"/>
        <v>52</v>
      </c>
    </row>
    <row r="5" spans="1:11" x14ac:dyDescent="0.35">
      <c r="A5" s="1">
        <v>4.5</v>
      </c>
      <c r="B5" s="1">
        <v>4</v>
      </c>
      <c r="C5" s="1">
        <v>0</v>
      </c>
      <c r="D5" s="1">
        <v>6</v>
      </c>
      <c r="E5" s="1">
        <f t="shared" si="0"/>
        <v>10</v>
      </c>
      <c r="F5" s="2">
        <v>2150</v>
      </c>
      <c r="G5" s="2">
        <v>4237</v>
      </c>
      <c r="H5" s="2">
        <f t="shared" si="1"/>
        <v>6387</v>
      </c>
      <c r="I5" s="2">
        <v>6383</v>
      </c>
      <c r="J5" s="2">
        <f t="shared" si="2"/>
        <v>4</v>
      </c>
    </row>
    <row r="6" spans="1:11" x14ac:dyDescent="0.35">
      <c r="A6" s="1">
        <v>5.5</v>
      </c>
      <c r="B6" s="1">
        <v>0</v>
      </c>
      <c r="C6" s="1">
        <v>0</v>
      </c>
      <c r="D6" s="1">
        <v>49</v>
      </c>
      <c r="E6" s="1">
        <f t="shared" si="0"/>
        <v>49</v>
      </c>
      <c r="F6" s="2">
        <v>2159</v>
      </c>
      <c r="G6" s="2">
        <v>6010</v>
      </c>
      <c r="H6" s="2">
        <f t="shared" si="1"/>
        <v>8169</v>
      </c>
      <c r="I6" s="2">
        <v>8130</v>
      </c>
      <c r="J6" s="2">
        <f t="shared" si="2"/>
        <v>39</v>
      </c>
    </row>
    <row r="7" spans="1:11" x14ac:dyDescent="0.35">
      <c r="A7" s="1">
        <v>6.5</v>
      </c>
      <c r="B7" s="1">
        <v>0</v>
      </c>
      <c r="C7" s="1">
        <v>0</v>
      </c>
      <c r="D7" s="1">
        <v>19</v>
      </c>
      <c r="E7" s="1">
        <f t="shared" si="0"/>
        <v>19</v>
      </c>
      <c r="F7" s="2">
        <v>1563</v>
      </c>
      <c r="G7" s="2">
        <v>9448</v>
      </c>
      <c r="H7" s="2">
        <f t="shared" si="1"/>
        <v>11011</v>
      </c>
      <c r="I7" s="2">
        <v>10992</v>
      </c>
      <c r="J7" s="2">
        <f t="shared" si="2"/>
        <v>19</v>
      </c>
      <c r="K7" t="s">
        <v>16</v>
      </c>
    </row>
    <row r="8" spans="1:11" x14ac:dyDescent="0.35">
      <c r="A8" s="1">
        <v>7.5</v>
      </c>
      <c r="B8" s="1">
        <v>6</v>
      </c>
      <c r="C8" s="1">
        <v>-198</v>
      </c>
      <c r="D8" s="1">
        <v>168</v>
      </c>
      <c r="E8" s="1">
        <f t="shared" si="0"/>
        <v>-24</v>
      </c>
      <c r="F8" s="2">
        <v>453</v>
      </c>
      <c r="G8" s="2">
        <v>9576</v>
      </c>
      <c r="H8" s="2">
        <f t="shared" si="1"/>
        <v>10029</v>
      </c>
      <c r="I8" s="2">
        <v>10052</v>
      </c>
      <c r="J8" s="2">
        <f t="shared" si="2"/>
        <v>-23</v>
      </c>
    </row>
    <row r="9" spans="1:11" x14ac:dyDescent="0.35">
      <c r="A9" s="1">
        <v>8.5</v>
      </c>
      <c r="B9" s="1">
        <v>0</v>
      </c>
      <c r="C9" s="1">
        <v>168</v>
      </c>
      <c r="D9" s="1">
        <v>0</v>
      </c>
      <c r="E9" s="1">
        <f t="shared" si="0"/>
        <v>168</v>
      </c>
      <c r="F9" s="2">
        <v>195</v>
      </c>
      <c r="G9" s="2">
        <v>7695</v>
      </c>
      <c r="H9" s="2">
        <f t="shared" si="1"/>
        <v>7890</v>
      </c>
      <c r="I9" s="2">
        <v>7872</v>
      </c>
      <c r="J9" s="2">
        <f t="shared" si="2"/>
        <v>18</v>
      </c>
    </row>
    <row r="10" spans="1:11" x14ac:dyDescent="0.35">
      <c r="A10" s="1">
        <v>9.5</v>
      </c>
      <c r="B10" s="1">
        <v>0</v>
      </c>
      <c r="C10" s="1">
        <v>0</v>
      </c>
      <c r="D10" s="1">
        <v>16</v>
      </c>
      <c r="E10" s="1">
        <f t="shared" si="0"/>
        <v>16</v>
      </c>
      <c r="F10" s="2">
        <v>630</v>
      </c>
      <c r="G10" s="2">
        <v>2963</v>
      </c>
      <c r="H10" s="2">
        <f t="shared" si="1"/>
        <v>3593</v>
      </c>
      <c r="I10" s="2">
        <v>3557</v>
      </c>
      <c r="J10" s="2">
        <f t="shared" si="2"/>
        <v>36</v>
      </c>
    </row>
    <row r="11" spans="1:11" x14ac:dyDescent="0.35">
      <c r="A11" s="1">
        <v>10.5</v>
      </c>
      <c r="B11" s="1">
        <v>0</v>
      </c>
      <c r="C11" s="1">
        <v>-13</v>
      </c>
      <c r="D11" s="1">
        <v>4</v>
      </c>
      <c r="E11" s="1">
        <f t="shared" si="0"/>
        <v>-9</v>
      </c>
      <c r="F11" s="2">
        <v>0</v>
      </c>
      <c r="G11" s="2">
        <v>4472</v>
      </c>
      <c r="H11" s="2">
        <v>5192</v>
      </c>
      <c r="I11" s="2">
        <v>5201</v>
      </c>
      <c r="J11" s="2">
        <f t="shared" si="2"/>
        <v>-9</v>
      </c>
    </row>
    <row r="12" spans="1:11" x14ac:dyDescent="0.35">
      <c r="A12" s="1">
        <v>11.5</v>
      </c>
      <c r="B12" s="1">
        <v>2</v>
      </c>
      <c r="C12" s="1">
        <v>0</v>
      </c>
      <c r="D12" s="1">
        <v>0</v>
      </c>
      <c r="E12" s="1">
        <f t="shared" si="0"/>
        <v>2</v>
      </c>
      <c r="F12" s="2">
        <v>2460</v>
      </c>
      <c r="G12" s="2">
        <v>8357</v>
      </c>
      <c r="H12" s="2">
        <f t="shared" si="1"/>
        <v>10817</v>
      </c>
      <c r="I12" s="2">
        <v>10801</v>
      </c>
      <c r="J12" s="2">
        <f t="shared" si="2"/>
        <v>16</v>
      </c>
    </row>
    <row r="13" spans="1:11" x14ac:dyDescent="0.35">
      <c r="A13" s="1">
        <v>12.5</v>
      </c>
      <c r="B13" s="1">
        <v>2</v>
      </c>
      <c r="C13" s="1">
        <v>0</v>
      </c>
      <c r="D13" s="1">
        <v>30</v>
      </c>
      <c r="E13" s="1">
        <f t="shared" si="0"/>
        <v>32</v>
      </c>
      <c r="F13" s="2">
        <v>880</v>
      </c>
      <c r="G13" s="2">
        <v>6655</v>
      </c>
      <c r="H13" s="2">
        <f t="shared" si="1"/>
        <v>7535</v>
      </c>
      <c r="I13" s="2">
        <v>7503</v>
      </c>
      <c r="J13" s="2">
        <f t="shared" si="2"/>
        <v>32</v>
      </c>
    </row>
    <row r="14" spans="1:11" x14ac:dyDescent="0.35">
      <c r="A14" s="1">
        <v>13.5</v>
      </c>
      <c r="B14" s="1">
        <v>-6</v>
      </c>
      <c r="C14" s="1">
        <v>0</v>
      </c>
      <c r="D14" s="1">
        <v>0</v>
      </c>
      <c r="E14" s="1">
        <f t="shared" si="0"/>
        <v>-6</v>
      </c>
      <c r="F14" s="2">
        <v>1710</v>
      </c>
      <c r="G14" s="2">
        <v>9524</v>
      </c>
      <c r="H14" s="2">
        <f t="shared" si="1"/>
        <v>11234</v>
      </c>
      <c r="I14" s="2">
        <v>11230</v>
      </c>
      <c r="J14" s="2">
        <f t="shared" si="2"/>
        <v>4</v>
      </c>
    </row>
    <row r="15" spans="1:11" x14ac:dyDescent="0.35">
      <c r="A15" s="1">
        <v>14.5</v>
      </c>
      <c r="B15" s="1">
        <v>16</v>
      </c>
      <c r="C15" s="1">
        <v>0</v>
      </c>
      <c r="D15" s="1">
        <v>8</v>
      </c>
      <c r="E15" s="1">
        <f t="shared" si="0"/>
        <v>24</v>
      </c>
      <c r="F15" s="2">
        <v>2180</v>
      </c>
      <c r="G15" s="2">
        <v>7556</v>
      </c>
      <c r="H15" s="2">
        <f t="shared" si="1"/>
        <v>9736</v>
      </c>
      <c r="I15" s="2">
        <v>9712</v>
      </c>
      <c r="J15" s="2">
        <f t="shared" si="2"/>
        <v>24</v>
      </c>
    </row>
    <row r="16" spans="1:11" x14ac:dyDescent="0.35">
      <c r="A16" s="1">
        <v>15.5</v>
      </c>
      <c r="B16" s="1">
        <v>16</v>
      </c>
      <c r="C16" s="1">
        <v>36</v>
      </c>
      <c r="D16" s="1">
        <v>-8</v>
      </c>
      <c r="E16" s="1">
        <f t="shared" si="0"/>
        <v>44</v>
      </c>
      <c r="F16" s="2">
        <v>436</v>
      </c>
      <c r="G16" s="2">
        <v>7648</v>
      </c>
      <c r="H16" s="2">
        <f t="shared" si="1"/>
        <v>8084</v>
      </c>
      <c r="I16" s="2">
        <v>8037</v>
      </c>
      <c r="J16" s="2">
        <f t="shared" si="2"/>
        <v>47</v>
      </c>
    </row>
    <row r="17" spans="1:19" x14ac:dyDescent="0.35">
      <c r="A17" s="1">
        <v>16.5</v>
      </c>
      <c r="B17" s="1">
        <v>-15</v>
      </c>
      <c r="C17" s="1">
        <v>20</v>
      </c>
      <c r="D17" s="1">
        <v>100</v>
      </c>
      <c r="E17" s="1">
        <f t="shared" si="0"/>
        <v>105</v>
      </c>
      <c r="F17" s="2">
        <v>1705</v>
      </c>
      <c r="G17" s="2">
        <v>9374</v>
      </c>
      <c r="H17" s="2">
        <f t="shared" si="1"/>
        <v>11079</v>
      </c>
      <c r="I17" s="2">
        <v>10974</v>
      </c>
      <c r="J17" s="2">
        <f t="shared" si="2"/>
        <v>105</v>
      </c>
    </row>
    <row r="18" spans="1:19" x14ac:dyDescent="0.35">
      <c r="A18" s="1">
        <v>17.5</v>
      </c>
      <c r="B18" s="1">
        <v>-1</v>
      </c>
      <c r="C18" s="1">
        <v>55</v>
      </c>
      <c r="D18" s="1">
        <v>-51</v>
      </c>
      <c r="E18" s="1">
        <f t="shared" si="0"/>
        <v>3</v>
      </c>
      <c r="F18" s="2">
        <v>1423</v>
      </c>
      <c r="G18" s="2">
        <v>5199</v>
      </c>
      <c r="H18" s="2">
        <f t="shared" si="1"/>
        <v>6622</v>
      </c>
      <c r="I18" s="2">
        <v>6619</v>
      </c>
      <c r="J18" s="2">
        <f t="shared" si="2"/>
        <v>3</v>
      </c>
    </row>
    <row r="19" spans="1:19" x14ac:dyDescent="0.35">
      <c r="A19" s="1">
        <v>18.5</v>
      </c>
      <c r="B19" s="1">
        <v>56</v>
      </c>
      <c r="C19" s="1">
        <v>1</v>
      </c>
      <c r="D19" s="1">
        <v>0</v>
      </c>
      <c r="E19" s="1">
        <f t="shared" si="0"/>
        <v>57</v>
      </c>
      <c r="F19" s="2">
        <v>715</v>
      </c>
      <c r="G19" s="2">
        <v>5728</v>
      </c>
      <c r="H19" s="2">
        <f t="shared" si="1"/>
        <v>6443</v>
      </c>
      <c r="I19" s="2">
        <v>6362</v>
      </c>
      <c r="J19" s="2">
        <f t="shared" si="2"/>
        <v>81</v>
      </c>
    </row>
    <row r="20" spans="1:19" x14ac:dyDescent="0.35">
      <c r="A20" s="1">
        <v>19.5</v>
      </c>
      <c r="B20" s="1">
        <v>88</v>
      </c>
      <c r="C20" s="1">
        <v>0</v>
      </c>
      <c r="D20" s="1">
        <v>5</v>
      </c>
      <c r="E20" s="1">
        <f t="shared" si="0"/>
        <v>93</v>
      </c>
      <c r="F20" s="2">
        <v>5040</v>
      </c>
      <c r="G20" s="2">
        <v>6499</v>
      </c>
      <c r="H20" s="2">
        <f t="shared" si="1"/>
        <v>11539</v>
      </c>
      <c r="I20" s="2">
        <v>11446</v>
      </c>
      <c r="J20" s="2">
        <f t="shared" si="2"/>
        <v>93</v>
      </c>
    </row>
    <row r="21" spans="1:19" x14ac:dyDescent="0.35">
      <c r="A21" s="1">
        <v>20.5</v>
      </c>
      <c r="B21" s="1">
        <v>0</v>
      </c>
      <c r="C21" s="1">
        <v>50</v>
      </c>
      <c r="D21" s="1">
        <v>-71</v>
      </c>
      <c r="E21" s="1">
        <f t="shared" si="0"/>
        <v>-21</v>
      </c>
      <c r="F21" s="2">
        <v>707</v>
      </c>
      <c r="G21" s="2">
        <v>8246</v>
      </c>
      <c r="H21" s="2">
        <f t="shared" si="1"/>
        <v>8953</v>
      </c>
      <c r="I21" s="2">
        <v>8974</v>
      </c>
      <c r="J21" s="2">
        <f t="shared" si="2"/>
        <v>-21</v>
      </c>
    </row>
    <row r="22" spans="1:19" x14ac:dyDescent="0.35">
      <c r="A22" s="1">
        <v>21.5</v>
      </c>
      <c r="B22" s="1">
        <v>9</v>
      </c>
      <c r="C22" s="1">
        <v>22</v>
      </c>
      <c r="D22" s="1">
        <v>32</v>
      </c>
      <c r="E22" s="1">
        <f t="shared" si="0"/>
        <v>63</v>
      </c>
      <c r="F22" s="2">
        <v>2575</v>
      </c>
      <c r="G22" s="2">
        <v>8554</v>
      </c>
      <c r="H22" s="2">
        <f t="shared" si="1"/>
        <v>11129</v>
      </c>
      <c r="I22" s="2">
        <v>11066</v>
      </c>
      <c r="J22" s="2">
        <f t="shared" si="2"/>
        <v>63</v>
      </c>
    </row>
    <row r="23" spans="1:19" x14ac:dyDescent="0.35">
      <c r="A23" s="1">
        <v>22.5</v>
      </c>
      <c r="B23" s="1">
        <v>-10</v>
      </c>
      <c r="C23" s="1">
        <v>48</v>
      </c>
      <c r="D23" s="1">
        <v>9</v>
      </c>
      <c r="E23" s="1">
        <f t="shared" si="0"/>
        <v>47</v>
      </c>
      <c r="F23" s="2">
        <v>2160</v>
      </c>
      <c r="G23" s="2">
        <v>4132</v>
      </c>
      <c r="H23" s="2">
        <f t="shared" si="1"/>
        <v>6292</v>
      </c>
      <c r="I23" s="2">
        <v>5929</v>
      </c>
      <c r="J23" s="2">
        <f t="shared" si="2"/>
        <v>363</v>
      </c>
    </row>
    <row r="24" spans="1:19" x14ac:dyDescent="0.35">
      <c r="A24" s="1">
        <v>23.5</v>
      </c>
      <c r="B24" s="1">
        <v>-6</v>
      </c>
      <c r="C24" s="1">
        <v>27</v>
      </c>
      <c r="D24" s="1">
        <v>0</v>
      </c>
      <c r="E24" s="1">
        <f t="shared" si="0"/>
        <v>21</v>
      </c>
      <c r="F24" s="2">
        <v>1446</v>
      </c>
      <c r="G24" s="2">
        <v>8769</v>
      </c>
      <c r="H24" s="2">
        <f t="shared" si="1"/>
        <v>10215</v>
      </c>
      <c r="I24" s="2">
        <v>10193</v>
      </c>
      <c r="J24" s="2">
        <f t="shared" si="2"/>
        <v>22</v>
      </c>
    </row>
    <row r="25" spans="1:19" x14ac:dyDescent="0.35">
      <c r="A25" s="1">
        <v>24.5</v>
      </c>
      <c r="B25" s="1">
        <v>0</v>
      </c>
      <c r="C25" s="1">
        <v>16</v>
      </c>
      <c r="D25" s="1">
        <v>35</v>
      </c>
      <c r="E25" s="1">
        <f t="shared" si="0"/>
        <v>51</v>
      </c>
      <c r="F25" s="2">
        <v>920</v>
      </c>
      <c r="G25" s="2">
        <v>4847</v>
      </c>
      <c r="H25" s="2">
        <f t="shared" si="1"/>
        <v>5767</v>
      </c>
      <c r="I25" s="2">
        <v>5726</v>
      </c>
      <c r="J25" s="2">
        <f t="shared" si="2"/>
        <v>41</v>
      </c>
    </row>
    <row r="26" spans="1:19" x14ac:dyDescent="0.35">
      <c r="A26" s="1">
        <v>25.5</v>
      </c>
      <c r="B26" s="1">
        <v>8</v>
      </c>
      <c r="C26" s="1">
        <v>0</v>
      </c>
      <c r="D26" s="1">
        <v>-5</v>
      </c>
      <c r="E26" s="1">
        <f t="shared" si="0"/>
        <v>3</v>
      </c>
      <c r="F26" s="2">
        <v>212</v>
      </c>
      <c r="G26" s="2">
        <v>2863</v>
      </c>
      <c r="H26" s="2">
        <f t="shared" si="1"/>
        <v>3075</v>
      </c>
      <c r="I26" s="2">
        <v>3072</v>
      </c>
      <c r="J26" s="2">
        <f t="shared" si="2"/>
        <v>3</v>
      </c>
    </row>
    <row r="27" spans="1:19" x14ac:dyDescent="0.35">
      <c r="A27" s="1">
        <v>26.5</v>
      </c>
      <c r="B27" s="1">
        <v>100</v>
      </c>
      <c r="C27" s="1">
        <v>-1</v>
      </c>
      <c r="D27" s="1">
        <v>15</v>
      </c>
      <c r="E27" s="1">
        <f t="shared" si="0"/>
        <v>114</v>
      </c>
      <c r="F27" s="2">
        <v>925</v>
      </c>
      <c r="G27" s="2">
        <v>7102</v>
      </c>
      <c r="H27" s="2">
        <f t="shared" si="1"/>
        <v>8027</v>
      </c>
      <c r="I27" s="2">
        <v>7913</v>
      </c>
      <c r="J27" s="2">
        <f t="shared" si="2"/>
        <v>114</v>
      </c>
    </row>
    <row r="28" spans="1:19" x14ac:dyDescent="0.35">
      <c r="A28" s="1">
        <v>27.5</v>
      </c>
      <c r="B28" s="1">
        <v>25</v>
      </c>
      <c r="C28" s="1">
        <v>50</v>
      </c>
      <c r="D28" s="1">
        <v>72</v>
      </c>
      <c r="E28" s="1">
        <f t="shared" si="0"/>
        <v>147</v>
      </c>
      <c r="F28" s="2">
        <v>474</v>
      </c>
      <c r="G28" s="2">
        <v>7932</v>
      </c>
      <c r="H28" s="2">
        <f t="shared" si="1"/>
        <v>8406</v>
      </c>
      <c r="I28" s="2">
        <v>8256</v>
      </c>
      <c r="J28" s="2">
        <f t="shared" si="2"/>
        <v>150</v>
      </c>
    </row>
    <row r="29" spans="1:19" x14ac:dyDescent="0.35">
      <c r="A29" s="1">
        <v>28.5</v>
      </c>
      <c r="B29" s="1">
        <v>0</v>
      </c>
      <c r="C29" s="1">
        <v>-12</v>
      </c>
      <c r="D29" s="1">
        <v>219</v>
      </c>
      <c r="E29" s="1">
        <f t="shared" si="0"/>
        <v>207</v>
      </c>
      <c r="F29" s="2">
        <v>600</v>
      </c>
      <c r="G29" s="2">
        <v>4906</v>
      </c>
      <c r="H29" s="2">
        <f t="shared" si="1"/>
        <v>5506</v>
      </c>
      <c r="I29" s="2">
        <v>5299</v>
      </c>
      <c r="J29" s="2">
        <f t="shared" si="2"/>
        <v>207</v>
      </c>
      <c r="S29" t="s">
        <v>14</v>
      </c>
    </row>
    <row r="30" spans="1:19" x14ac:dyDescent="0.35">
      <c r="A30" s="1">
        <v>29.5</v>
      </c>
      <c r="B30" s="1">
        <v>26</v>
      </c>
      <c r="C30" s="1">
        <v>0</v>
      </c>
      <c r="D30" s="1">
        <v>3</v>
      </c>
      <c r="E30" s="1">
        <f t="shared" si="0"/>
        <v>29</v>
      </c>
      <c r="F30" s="2">
        <v>100</v>
      </c>
      <c r="G30" s="2">
        <v>4834</v>
      </c>
      <c r="H30" s="2">
        <f t="shared" si="1"/>
        <v>4934</v>
      </c>
      <c r="I30" s="2">
        <v>4902</v>
      </c>
      <c r="J30" s="2">
        <f t="shared" si="2"/>
        <v>32</v>
      </c>
    </row>
    <row r="31" spans="1:19" x14ac:dyDescent="0.35">
      <c r="A31" s="1">
        <v>30.5</v>
      </c>
      <c r="B31" s="1">
        <v>3</v>
      </c>
      <c r="C31" s="1">
        <v>-24</v>
      </c>
      <c r="D31" s="1">
        <v>20</v>
      </c>
      <c r="E31" s="1">
        <f t="shared" si="0"/>
        <v>-1</v>
      </c>
      <c r="F31" s="2">
        <v>4097</v>
      </c>
      <c r="G31" s="2">
        <v>7293</v>
      </c>
      <c r="H31" s="2">
        <f t="shared" si="1"/>
        <v>11390</v>
      </c>
      <c r="I31" s="2">
        <v>11390</v>
      </c>
      <c r="J31" s="2">
        <f t="shared" si="2"/>
        <v>0</v>
      </c>
    </row>
    <row r="32" spans="1:19" s="2" customFormat="1" x14ac:dyDescent="0.35">
      <c r="A32" s="1">
        <v>31.5</v>
      </c>
      <c r="B32" s="1">
        <v>7</v>
      </c>
      <c r="C32" s="1">
        <v>30</v>
      </c>
      <c r="D32" s="1">
        <v>0</v>
      </c>
      <c r="E32" s="1">
        <f t="shared" si="0"/>
        <v>37</v>
      </c>
      <c r="F32" s="2">
        <v>310</v>
      </c>
      <c r="G32" s="2">
        <v>10946</v>
      </c>
      <c r="H32" s="2">
        <f t="shared" si="1"/>
        <v>11256</v>
      </c>
      <c r="I32" s="2">
        <v>11213</v>
      </c>
      <c r="J32" s="2">
        <f t="shared" si="2"/>
        <v>43</v>
      </c>
      <c r="K32"/>
      <c r="L32"/>
      <c r="M32"/>
      <c r="N32"/>
      <c r="O32"/>
      <c r="P32"/>
      <c r="Q32"/>
      <c r="R32"/>
      <c r="S32"/>
    </row>
    <row r="33" spans="5:10" x14ac:dyDescent="0.35">
      <c r="E33" s="1">
        <f>SUM(E2:E32)</f>
        <v>1400</v>
      </c>
      <c r="J33" s="2">
        <f>SUM(J2:J32)</f>
        <v>1628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EFB9-B1E0-495C-AC07-1F89407032D2}">
  <dimension ref="A1:S32"/>
  <sheetViews>
    <sheetView workbookViewId="0">
      <selection activeCell="D12" sqref="D12"/>
    </sheetView>
  </sheetViews>
  <sheetFormatPr defaultColWidth="8.81640625" defaultRowHeight="14.5" x14ac:dyDescent="0.35"/>
  <cols>
    <col min="1" max="1" width="12" style="1" customWidth="1"/>
    <col min="2" max="2" width="14" style="1" customWidth="1"/>
    <col min="3" max="3" width="15.453125" style="1" customWidth="1"/>
    <col min="4" max="4" width="14.81640625" style="1" customWidth="1"/>
    <col min="5" max="5" width="16" style="1" customWidth="1"/>
    <col min="6" max="7" width="16.453125" style="2" customWidth="1"/>
    <col min="8" max="8" width="23.453125" style="2" customWidth="1"/>
    <col min="9" max="9" width="18.36328125" style="2" customWidth="1"/>
    <col min="10" max="10" width="13.36328125" style="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2" t="s">
        <v>9</v>
      </c>
      <c r="H1" s="2" t="s">
        <v>5</v>
      </c>
      <c r="I1" s="2" t="s">
        <v>6</v>
      </c>
      <c r="J1" s="2" t="s">
        <v>7</v>
      </c>
    </row>
    <row r="2" spans="1:10" x14ac:dyDescent="0.35">
      <c r="A2" s="1">
        <v>1.4</v>
      </c>
      <c r="B2" s="1">
        <v>11</v>
      </c>
      <c r="C2" s="1">
        <v>0</v>
      </c>
      <c r="D2" s="1">
        <v>245</v>
      </c>
      <c r="E2" s="1">
        <f>B2+C2+D2</f>
        <v>256</v>
      </c>
      <c r="F2" s="2">
        <v>3920</v>
      </c>
      <c r="G2" s="2">
        <v>6784</v>
      </c>
      <c r="H2" s="2">
        <f>G2+F2</f>
        <v>10704</v>
      </c>
      <c r="I2" s="2">
        <v>10449</v>
      </c>
      <c r="J2" s="2">
        <f>H2-I2</f>
        <v>255</v>
      </c>
    </row>
    <row r="3" spans="1:10" x14ac:dyDescent="0.35">
      <c r="A3" s="1">
        <v>2.4</v>
      </c>
      <c r="B3" s="1">
        <v>3</v>
      </c>
      <c r="C3" s="1">
        <v>0</v>
      </c>
      <c r="D3" s="1">
        <v>0</v>
      </c>
      <c r="E3" s="1">
        <f t="shared" ref="E3:E31" si="0">B3+C3+D3</f>
        <v>3</v>
      </c>
      <c r="F3" s="2">
        <v>980</v>
      </c>
      <c r="G3" s="2">
        <v>6559</v>
      </c>
      <c r="H3" s="2">
        <f t="shared" ref="H3:H31" si="1">G3+F3</f>
        <v>7539</v>
      </c>
      <c r="I3" s="2">
        <v>7520</v>
      </c>
      <c r="J3" s="2">
        <f t="shared" ref="J3:J31" si="2">H3-I3</f>
        <v>19</v>
      </c>
    </row>
    <row r="4" spans="1:10" x14ac:dyDescent="0.35">
      <c r="A4" s="1">
        <v>3.4</v>
      </c>
      <c r="B4" s="1">
        <v>5</v>
      </c>
      <c r="C4" s="1">
        <v>0</v>
      </c>
      <c r="D4" s="1">
        <v>0</v>
      </c>
      <c r="E4" s="1">
        <f t="shared" si="0"/>
        <v>5</v>
      </c>
      <c r="F4" s="2">
        <v>204</v>
      </c>
      <c r="G4" s="2">
        <v>12902</v>
      </c>
      <c r="H4" s="2">
        <f t="shared" si="1"/>
        <v>13106</v>
      </c>
      <c r="I4" s="2">
        <v>13101</v>
      </c>
      <c r="J4" s="2">
        <f t="shared" si="2"/>
        <v>5</v>
      </c>
    </row>
    <row r="5" spans="1:10" x14ac:dyDescent="0.35">
      <c r="A5" s="1">
        <v>4.4000000000000004</v>
      </c>
      <c r="B5" s="1">
        <v>6</v>
      </c>
      <c r="C5" s="1">
        <v>45</v>
      </c>
      <c r="D5" s="1">
        <v>0</v>
      </c>
      <c r="E5" s="1">
        <f t="shared" si="0"/>
        <v>51</v>
      </c>
      <c r="F5" s="2">
        <v>410</v>
      </c>
      <c r="G5" s="2">
        <v>8686</v>
      </c>
      <c r="H5" s="2">
        <f t="shared" si="1"/>
        <v>9096</v>
      </c>
      <c r="I5" s="2">
        <v>9051</v>
      </c>
      <c r="J5" s="2">
        <f t="shared" si="2"/>
        <v>45</v>
      </c>
    </row>
    <row r="6" spans="1:10" x14ac:dyDescent="0.35">
      <c r="A6" s="1">
        <v>5.4</v>
      </c>
      <c r="B6" s="1">
        <v>14</v>
      </c>
      <c r="C6" s="1">
        <v>0</v>
      </c>
      <c r="D6" s="1">
        <v>0</v>
      </c>
      <c r="E6" s="1">
        <f t="shared" si="0"/>
        <v>14</v>
      </c>
      <c r="F6" s="2">
        <v>0</v>
      </c>
      <c r="G6" s="2">
        <v>5634</v>
      </c>
      <c r="H6" s="2">
        <f t="shared" si="1"/>
        <v>5634</v>
      </c>
      <c r="I6" s="2">
        <v>5652</v>
      </c>
      <c r="J6" s="2">
        <f t="shared" si="2"/>
        <v>-18</v>
      </c>
    </row>
    <row r="7" spans="1:10" x14ac:dyDescent="0.35">
      <c r="A7" s="1">
        <v>6.4</v>
      </c>
      <c r="B7" s="1">
        <v>6</v>
      </c>
      <c r="C7" s="1">
        <v>8</v>
      </c>
      <c r="D7" s="1">
        <v>14</v>
      </c>
      <c r="E7" s="1">
        <f t="shared" si="0"/>
        <v>28</v>
      </c>
      <c r="F7" s="2">
        <v>1488</v>
      </c>
      <c r="G7" s="2">
        <v>4335</v>
      </c>
      <c r="H7" s="2">
        <f t="shared" si="1"/>
        <v>5823</v>
      </c>
      <c r="I7" s="2">
        <v>5795</v>
      </c>
      <c r="J7" s="2">
        <f t="shared" si="2"/>
        <v>28</v>
      </c>
    </row>
    <row r="8" spans="1:10" x14ac:dyDescent="0.35">
      <c r="A8" s="1">
        <v>7.4</v>
      </c>
      <c r="B8" s="1">
        <v>0</v>
      </c>
      <c r="C8" s="1">
        <v>0</v>
      </c>
      <c r="D8" s="1">
        <v>35</v>
      </c>
      <c r="E8" s="1">
        <f t="shared" si="0"/>
        <v>35</v>
      </c>
      <c r="F8" s="2">
        <v>1010</v>
      </c>
      <c r="G8" s="2">
        <v>7528</v>
      </c>
      <c r="H8" s="2">
        <f t="shared" si="1"/>
        <v>8538</v>
      </c>
      <c r="I8" s="2">
        <v>8443</v>
      </c>
      <c r="J8" s="2">
        <f t="shared" si="2"/>
        <v>95</v>
      </c>
    </row>
    <row r="9" spans="1:10" x14ac:dyDescent="0.35">
      <c r="A9" s="1">
        <v>8.4</v>
      </c>
      <c r="B9" s="1">
        <v>0</v>
      </c>
      <c r="C9" s="1">
        <v>0</v>
      </c>
      <c r="D9" s="1">
        <v>12</v>
      </c>
      <c r="E9" s="1">
        <f t="shared" si="0"/>
        <v>12</v>
      </c>
      <c r="F9" s="2">
        <v>168</v>
      </c>
      <c r="G9" s="2">
        <v>5702</v>
      </c>
      <c r="H9" s="2">
        <f t="shared" si="1"/>
        <v>5870</v>
      </c>
      <c r="I9" s="2">
        <v>5896</v>
      </c>
      <c r="J9" s="2">
        <f t="shared" si="2"/>
        <v>-26</v>
      </c>
    </row>
    <row r="10" spans="1:10" x14ac:dyDescent="0.35">
      <c r="A10" s="1">
        <v>9.4</v>
      </c>
      <c r="B10" s="1">
        <v>34</v>
      </c>
      <c r="C10" s="1">
        <v>0</v>
      </c>
      <c r="D10" s="1">
        <v>78</v>
      </c>
      <c r="E10" s="1">
        <f t="shared" si="0"/>
        <v>112</v>
      </c>
      <c r="F10" s="2">
        <v>1360</v>
      </c>
      <c r="G10" s="2">
        <v>9334</v>
      </c>
      <c r="H10" s="2">
        <f t="shared" si="1"/>
        <v>10694</v>
      </c>
      <c r="I10" s="2">
        <v>10582</v>
      </c>
      <c r="J10" s="2">
        <f t="shared" si="2"/>
        <v>112</v>
      </c>
    </row>
    <row r="11" spans="1:10" x14ac:dyDescent="0.35">
      <c r="A11" s="1">
        <v>10.4</v>
      </c>
      <c r="B11" s="1">
        <v>2</v>
      </c>
      <c r="C11" s="1">
        <v>0</v>
      </c>
      <c r="D11" s="1">
        <v>7</v>
      </c>
      <c r="E11" s="1">
        <f t="shared" si="0"/>
        <v>9</v>
      </c>
      <c r="F11" s="2">
        <v>1482</v>
      </c>
      <c r="G11" s="2">
        <v>10324</v>
      </c>
      <c r="H11" s="2">
        <f t="shared" si="1"/>
        <v>11806</v>
      </c>
      <c r="I11" s="2">
        <v>11797</v>
      </c>
      <c r="J11" s="2">
        <f t="shared" si="2"/>
        <v>9</v>
      </c>
    </row>
    <row r="12" spans="1:10" x14ac:dyDescent="0.35">
      <c r="A12" s="1">
        <v>11.4</v>
      </c>
      <c r="B12" s="1">
        <v>1</v>
      </c>
      <c r="C12" s="1">
        <v>10</v>
      </c>
      <c r="D12" s="1">
        <v>14</v>
      </c>
      <c r="E12" s="1">
        <f t="shared" si="0"/>
        <v>25</v>
      </c>
      <c r="F12" s="2">
        <v>1402</v>
      </c>
      <c r="G12" s="2">
        <v>4459</v>
      </c>
      <c r="H12" s="2">
        <f t="shared" si="1"/>
        <v>5861</v>
      </c>
      <c r="I12" s="2">
        <v>5836</v>
      </c>
      <c r="J12" s="2">
        <f t="shared" si="2"/>
        <v>25</v>
      </c>
    </row>
    <row r="13" spans="1:10" x14ac:dyDescent="0.35">
      <c r="A13" s="1">
        <v>12.4</v>
      </c>
      <c r="B13" s="1">
        <v>4</v>
      </c>
      <c r="C13" s="1">
        <v>0</v>
      </c>
      <c r="D13" s="1">
        <v>0</v>
      </c>
      <c r="E13" s="1">
        <f t="shared" si="0"/>
        <v>4</v>
      </c>
      <c r="F13" s="2">
        <v>2044</v>
      </c>
      <c r="G13" s="2">
        <v>4963</v>
      </c>
      <c r="H13" s="2">
        <f t="shared" si="1"/>
        <v>7007</v>
      </c>
      <c r="I13" s="2">
        <v>7019</v>
      </c>
      <c r="J13" s="2">
        <f t="shared" si="2"/>
        <v>-12</v>
      </c>
    </row>
    <row r="14" spans="1:10" x14ac:dyDescent="0.35">
      <c r="A14" s="1">
        <v>13.4</v>
      </c>
      <c r="B14" s="1">
        <v>0</v>
      </c>
      <c r="C14" s="1">
        <v>0</v>
      </c>
      <c r="D14" s="1">
        <v>15</v>
      </c>
      <c r="E14" s="1">
        <f t="shared" si="0"/>
        <v>15</v>
      </c>
      <c r="F14" s="2">
        <v>725</v>
      </c>
      <c r="G14" s="2">
        <v>14458</v>
      </c>
      <c r="H14" s="2">
        <f t="shared" si="1"/>
        <v>15183</v>
      </c>
      <c r="I14" s="2">
        <v>15168</v>
      </c>
      <c r="J14" s="2">
        <f t="shared" si="2"/>
        <v>15</v>
      </c>
    </row>
    <row r="15" spans="1:10" x14ac:dyDescent="0.35">
      <c r="A15" s="1">
        <v>14.4</v>
      </c>
      <c r="B15" s="1">
        <v>7</v>
      </c>
      <c r="C15" s="1">
        <v>11</v>
      </c>
      <c r="D15" s="1">
        <v>19</v>
      </c>
      <c r="E15" s="1">
        <f t="shared" si="0"/>
        <v>37</v>
      </c>
      <c r="F15" s="2">
        <v>605</v>
      </c>
      <c r="G15" s="2">
        <v>6295</v>
      </c>
      <c r="H15" s="2">
        <f t="shared" si="1"/>
        <v>6900</v>
      </c>
      <c r="I15" s="2">
        <v>6713</v>
      </c>
      <c r="J15" s="2">
        <f t="shared" si="2"/>
        <v>187</v>
      </c>
    </row>
    <row r="16" spans="1:10" x14ac:dyDescent="0.35">
      <c r="A16" s="1">
        <v>15.4</v>
      </c>
      <c r="B16" s="1">
        <v>11</v>
      </c>
      <c r="C16" s="1">
        <v>0</v>
      </c>
      <c r="D16" s="1">
        <v>0</v>
      </c>
      <c r="E16" s="1">
        <f t="shared" si="0"/>
        <v>11</v>
      </c>
      <c r="F16" s="2">
        <v>416</v>
      </c>
      <c r="G16" s="2">
        <v>6127</v>
      </c>
      <c r="H16" s="2">
        <f t="shared" si="1"/>
        <v>6543</v>
      </c>
      <c r="I16" s="2">
        <v>6508</v>
      </c>
      <c r="J16" s="2">
        <f t="shared" si="2"/>
        <v>35</v>
      </c>
    </row>
    <row r="17" spans="1:19" x14ac:dyDescent="0.35">
      <c r="A17" s="1">
        <v>16.399999999999999</v>
      </c>
      <c r="B17" s="1">
        <v>0</v>
      </c>
      <c r="C17" s="1">
        <v>2</v>
      </c>
      <c r="D17" s="1">
        <v>3</v>
      </c>
      <c r="E17" s="1">
        <f t="shared" si="0"/>
        <v>5</v>
      </c>
      <c r="F17" s="2">
        <v>764</v>
      </c>
      <c r="G17" s="2">
        <v>9113</v>
      </c>
      <c r="H17" s="2">
        <f t="shared" si="1"/>
        <v>9877</v>
      </c>
      <c r="I17" s="2">
        <v>9872</v>
      </c>
      <c r="J17" s="2">
        <f t="shared" si="2"/>
        <v>5</v>
      </c>
    </row>
    <row r="18" spans="1:19" x14ac:dyDescent="0.35">
      <c r="A18" s="1">
        <v>17.399999999999999</v>
      </c>
      <c r="B18" s="1">
        <v>12</v>
      </c>
      <c r="C18" s="1">
        <v>8</v>
      </c>
      <c r="D18" s="1">
        <v>16</v>
      </c>
      <c r="E18" s="1">
        <f t="shared" si="0"/>
        <v>36</v>
      </c>
      <c r="F18" s="2">
        <v>768</v>
      </c>
      <c r="G18" s="2">
        <v>8549</v>
      </c>
      <c r="H18" s="2">
        <f t="shared" si="1"/>
        <v>9317</v>
      </c>
      <c r="I18" s="2">
        <v>9281</v>
      </c>
      <c r="J18" s="2">
        <f t="shared" si="2"/>
        <v>36</v>
      </c>
    </row>
    <row r="19" spans="1:19" x14ac:dyDescent="0.35">
      <c r="A19" s="1">
        <v>18.399999999999999</v>
      </c>
      <c r="B19" s="1">
        <v>17</v>
      </c>
      <c r="C19" s="1">
        <v>0</v>
      </c>
      <c r="D19" s="1">
        <v>0</v>
      </c>
      <c r="E19" s="1">
        <f t="shared" si="0"/>
        <v>17</v>
      </c>
      <c r="F19" s="2">
        <v>2440</v>
      </c>
      <c r="G19" s="2">
        <v>5694</v>
      </c>
      <c r="H19" s="2">
        <f t="shared" si="1"/>
        <v>8134</v>
      </c>
      <c r="I19" s="2">
        <v>8118</v>
      </c>
      <c r="J19" s="2">
        <f t="shared" si="2"/>
        <v>16</v>
      </c>
    </row>
    <row r="20" spans="1:19" x14ac:dyDescent="0.35">
      <c r="A20" s="1">
        <v>19.399999999999999</v>
      </c>
      <c r="B20" s="1">
        <v>249</v>
      </c>
      <c r="C20" s="1">
        <v>0</v>
      </c>
      <c r="D20" s="1">
        <v>0</v>
      </c>
      <c r="E20" s="1">
        <f t="shared" si="0"/>
        <v>249</v>
      </c>
      <c r="F20" s="2">
        <v>120</v>
      </c>
      <c r="G20" s="2">
        <v>4246</v>
      </c>
      <c r="H20" s="2">
        <f t="shared" si="1"/>
        <v>4366</v>
      </c>
      <c r="I20" s="2">
        <v>4147</v>
      </c>
      <c r="J20" s="2">
        <f t="shared" si="2"/>
        <v>219</v>
      </c>
    </row>
    <row r="21" spans="1:19" x14ac:dyDescent="0.35">
      <c r="A21" s="1">
        <v>20.399999999999999</v>
      </c>
      <c r="B21" s="1">
        <v>0</v>
      </c>
      <c r="C21" s="1">
        <v>0</v>
      </c>
      <c r="D21" s="1">
        <v>5</v>
      </c>
      <c r="E21" s="1">
        <f t="shared" si="0"/>
        <v>5</v>
      </c>
      <c r="G21" s="2">
        <v>3758</v>
      </c>
      <c r="H21" s="2">
        <f t="shared" si="1"/>
        <v>3758</v>
      </c>
      <c r="I21" s="2">
        <v>3753</v>
      </c>
      <c r="J21" s="2">
        <f t="shared" si="2"/>
        <v>5</v>
      </c>
    </row>
    <row r="22" spans="1:19" x14ac:dyDescent="0.35">
      <c r="A22" s="1">
        <v>21.4</v>
      </c>
      <c r="B22" s="1">
        <v>0</v>
      </c>
      <c r="C22" s="1">
        <v>26</v>
      </c>
      <c r="D22" s="1">
        <v>206</v>
      </c>
      <c r="E22" s="1">
        <f t="shared" si="0"/>
        <v>232</v>
      </c>
      <c r="F22" s="2">
        <v>3450</v>
      </c>
      <c r="G22" s="2">
        <v>7611</v>
      </c>
      <c r="H22" s="2">
        <f t="shared" si="1"/>
        <v>11061</v>
      </c>
      <c r="I22" s="2">
        <v>10829</v>
      </c>
      <c r="J22" s="2">
        <f t="shared" si="2"/>
        <v>232</v>
      </c>
    </row>
    <row r="23" spans="1:19" x14ac:dyDescent="0.35">
      <c r="A23" s="1">
        <v>22.4</v>
      </c>
      <c r="B23" s="1">
        <v>14</v>
      </c>
      <c r="C23" s="1">
        <v>0</v>
      </c>
      <c r="D23" s="1">
        <v>2</v>
      </c>
      <c r="E23" s="1">
        <f t="shared" si="0"/>
        <v>16</v>
      </c>
      <c r="F23" s="2">
        <v>4281</v>
      </c>
      <c r="G23" s="2">
        <v>9234</v>
      </c>
      <c r="H23" s="2">
        <f t="shared" si="1"/>
        <v>13515</v>
      </c>
      <c r="I23" s="2">
        <v>13535</v>
      </c>
      <c r="J23" s="2">
        <f t="shared" si="2"/>
        <v>-20</v>
      </c>
    </row>
    <row r="24" spans="1:19" x14ac:dyDescent="0.35">
      <c r="A24" s="1">
        <v>23.4</v>
      </c>
      <c r="B24" s="1">
        <v>0</v>
      </c>
      <c r="C24" s="1">
        <v>0</v>
      </c>
      <c r="D24" s="1">
        <v>0</v>
      </c>
      <c r="E24" s="1">
        <f t="shared" si="0"/>
        <v>0</v>
      </c>
      <c r="F24" s="2">
        <v>870</v>
      </c>
      <c r="G24" s="2">
        <v>4762</v>
      </c>
      <c r="H24" s="2">
        <f t="shared" si="1"/>
        <v>5632</v>
      </c>
      <c r="I24" s="2">
        <v>5631</v>
      </c>
      <c r="J24" s="2">
        <f t="shared" si="2"/>
        <v>1</v>
      </c>
    </row>
    <row r="25" spans="1:19" x14ac:dyDescent="0.35">
      <c r="A25" s="1">
        <v>24.4</v>
      </c>
      <c r="B25" s="1">
        <v>82</v>
      </c>
      <c r="C25" s="1">
        <v>0</v>
      </c>
      <c r="D25" s="1">
        <v>32</v>
      </c>
      <c r="E25" s="1">
        <f t="shared" si="0"/>
        <v>114</v>
      </c>
      <c r="F25" s="2">
        <v>955</v>
      </c>
      <c r="G25" s="2">
        <v>5255</v>
      </c>
      <c r="H25" s="2">
        <f t="shared" si="1"/>
        <v>6210</v>
      </c>
      <c r="I25" s="2">
        <v>6068</v>
      </c>
      <c r="J25" s="2">
        <f t="shared" si="2"/>
        <v>142</v>
      </c>
    </row>
    <row r="26" spans="1:19" x14ac:dyDescent="0.35">
      <c r="A26" s="1">
        <v>25.4</v>
      </c>
      <c r="B26" s="1">
        <v>0</v>
      </c>
      <c r="C26" s="1">
        <v>0</v>
      </c>
      <c r="D26" s="1">
        <v>0</v>
      </c>
      <c r="E26" s="1">
        <f t="shared" si="0"/>
        <v>0</v>
      </c>
      <c r="F26" s="2">
        <v>538</v>
      </c>
      <c r="G26" s="2">
        <v>7550</v>
      </c>
      <c r="H26" s="2">
        <f t="shared" si="1"/>
        <v>8088</v>
      </c>
      <c r="I26" s="2">
        <v>8100</v>
      </c>
      <c r="J26" s="2">
        <f t="shared" si="2"/>
        <v>-12</v>
      </c>
    </row>
    <row r="27" spans="1:19" x14ac:dyDescent="0.35">
      <c r="A27" s="1">
        <v>26.4</v>
      </c>
      <c r="B27" s="1">
        <v>0</v>
      </c>
      <c r="C27" s="1">
        <v>5</v>
      </c>
      <c r="D27" s="1">
        <v>0</v>
      </c>
      <c r="E27" s="1">
        <f t="shared" si="0"/>
        <v>5</v>
      </c>
      <c r="F27" s="2">
        <v>25</v>
      </c>
      <c r="G27" s="2">
        <v>4600</v>
      </c>
      <c r="H27" s="2">
        <f t="shared" si="1"/>
        <v>4625</v>
      </c>
      <c r="I27" s="2">
        <v>4630</v>
      </c>
      <c r="J27" s="2">
        <f t="shared" si="2"/>
        <v>-5</v>
      </c>
    </row>
    <row r="28" spans="1:19" x14ac:dyDescent="0.35">
      <c r="A28" s="1">
        <v>27.4</v>
      </c>
      <c r="B28" s="1">
        <v>4</v>
      </c>
      <c r="C28" s="1">
        <v>0</v>
      </c>
      <c r="D28" s="1">
        <v>0</v>
      </c>
      <c r="E28" s="1">
        <f t="shared" si="0"/>
        <v>4</v>
      </c>
      <c r="F28" s="2">
        <v>1150</v>
      </c>
      <c r="G28" s="2">
        <v>2911</v>
      </c>
      <c r="H28" s="2">
        <f t="shared" si="1"/>
        <v>4061</v>
      </c>
      <c r="I28" s="2">
        <v>4062</v>
      </c>
      <c r="J28" s="2">
        <f t="shared" si="2"/>
        <v>-1</v>
      </c>
    </row>
    <row r="29" spans="1:19" x14ac:dyDescent="0.35">
      <c r="A29" s="1">
        <v>28.4</v>
      </c>
      <c r="B29" s="1">
        <v>203</v>
      </c>
      <c r="C29" s="1">
        <v>0</v>
      </c>
      <c r="D29" s="1">
        <v>8</v>
      </c>
      <c r="E29" s="1">
        <f t="shared" si="0"/>
        <v>211</v>
      </c>
      <c r="F29" s="2">
        <v>146</v>
      </c>
      <c r="G29" s="2">
        <v>6920</v>
      </c>
      <c r="H29" s="2">
        <f t="shared" si="1"/>
        <v>7066</v>
      </c>
      <c r="I29" s="2">
        <v>6854</v>
      </c>
      <c r="J29" s="2">
        <f t="shared" si="2"/>
        <v>212</v>
      </c>
      <c r="S29" t="s">
        <v>14</v>
      </c>
    </row>
    <row r="30" spans="1:19" x14ac:dyDescent="0.35">
      <c r="A30" s="1">
        <v>29.4</v>
      </c>
      <c r="B30" s="1">
        <v>0</v>
      </c>
      <c r="C30" s="1">
        <v>3</v>
      </c>
      <c r="D30" s="1">
        <v>3</v>
      </c>
      <c r="E30" s="1">
        <f t="shared" si="0"/>
        <v>6</v>
      </c>
      <c r="F30" s="2">
        <v>1104</v>
      </c>
      <c r="G30" s="2">
        <v>6627</v>
      </c>
      <c r="H30" s="2">
        <f>G30+F30</f>
        <v>7731</v>
      </c>
      <c r="I30" s="2">
        <v>7731</v>
      </c>
      <c r="J30" s="2">
        <f t="shared" si="2"/>
        <v>0</v>
      </c>
    </row>
    <row r="31" spans="1:19" x14ac:dyDescent="0.35">
      <c r="A31" s="1">
        <v>30.4</v>
      </c>
      <c r="B31" s="1">
        <v>7</v>
      </c>
      <c r="C31" s="1">
        <v>50</v>
      </c>
      <c r="D31" s="1">
        <v>112</v>
      </c>
      <c r="E31" s="1">
        <f t="shared" si="0"/>
        <v>169</v>
      </c>
      <c r="F31" s="2">
        <v>1708</v>
      </c>
      <c r="G31" s="2">
        <v>6476</v>
      </c>
      <c r="H31" s="2">
        <f t="shared" si="1"/>
        <v>8184</v>
      </c>
      <c r="I31" s="2">
        <v>8014</v>
      </c>
      <c r="J31" s="2">
        <f t="shared" si="2"/>
        <v>170</v>
      </c>
    </row>
    <row r="32" spans="1:19" s="2" customFormat="1" x14ac:dyDescent="0.35">
      <c r="A32" s="1"/>
      <c r="B32" s="1"/>
      <c r="C32" s="1"/>
      <c r="D32" s="1"/>
      <c r="E32" s="1">
        <f>SUM(E2:E31)</f>
        <v>1686</v>
      </c>
      <c r="J32" s="2">
        <f>SUM(J2:J31)</f>
        <v>1774</v>
      </c>
      <c r="K32"/>
      <c r="L32"/>
      <c r="M32"/>
      <c r="N32"/>
      <c r="O32"/>
      <c r="P32"/>
      <c r="Q32"/>
      <c r="R32"/>
      <c r="S3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B3119-9FCF-42D3-B663-FA14CA133515}">
  <dimension ref="A1:S34"/>
  <sheetViews>
    <sheetView topLeftCell="A25" workbookViewId="0">
      <selection activeCell="E18" sqref="E18"/>
    </sheetView>
  </sheetViews>
  <sheetFormatPr defaultColWidth="8.81640625" defaultRowHeight="14.5" x14ac:dyDescent="0.35"/>
  <cols>
    <col min="1" max="1" width="12" style="1" customWidth="1"/>
    <col min="2" max="2" width="14" style="1" customWidth="1"/>
    <col min="3" max="3" width="15.453125" style="1" customWidth="1"/>
    <col min="4" max="4" width="14.81640625" style="1" customWidth="1"/>
    <col min="5" max="5" width="16" style="1" customWidth="1"/>
    <col min="6" max="7" width="16.453125" style="2" customWidth="1"/>
    <col min="8" max="8" width="23.453125" style="2" customWidth="1"/>
    <col min="9" max="9" width="18.36328125" style="2" customWidth="1"/>
    <col min="10" max="10" width="13.36328125" style="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2" t="s">
        <v>9</v>
      </c>
      <c r="H1" s="2" t="s">
        <v>5</v>
      </c>
      <c r="I1" s="2" t="s">
        <v>6</v>
      </c>
      <c r="J1" s="2" t="s">
        <v>7</v>
      </c>
    </row>
    <row r="2" spans="1:10" x14ac:dyDescent="0.35">
      <c r="A2" s="1">
        <v>1.3</v>
      </c>
      <c r="B2" s="1">
        <v>0</v>
      </c>
      <c r="C2" s="1">
        <v>0</v>
      </c>
      <c r="D2" s="1">
        <v>0</v>
      </c>
      <c r="E2" s="1">
        <f>B2+C2+D2</f>
        <v>0</v>
      </c>
      <c r="F2" s="2">
        <v>1983</v>
      </c>
      <c r="G2" s="2">
        <v>6501</v>
      </c>
      <c r="H2" s="2">
        <f>G2+F2</f>
        <v>8484</v>
      </c>
      <c r="I2" s="2">
        <v>8472</v>
      </c>
      <c r="J2" s="2">
        <f>H2-I2</f>
        <v>12</v>
      </c>
    </row>
    <row r="3" spans="1:10" x14ac:dyDescent="0.35">
      <c r="A3" s="1">
        <v>2.2999999999999998</v>
      </c>
      <c r="B3" s="1">
        <v>0</v>
      </c>
      <c r="C3" s="1">
        <v>0</v>
      </c>
      <c r="D3" s="1">
        <v>18</v>
      </c>
      <c r="E3" s="1">
        <f t="shared" ref="E3:E32" si="0">B3+C3+D3</f>
        <v>18</v>
      </c>
      <c r="F3" s="2">
        <v>650</v>
      </c>
      <c r="G3" s="2">
        <v>9124</v>
      </c>
      <c r="H3" s="2">
        <f t="shared" ref="H3:H32" si="1">G3+F3</f>
        <v>9774</v>
      </c>
      <c r="I3" s="2">
        <v>9755</v>
      </c>
      <c r="J3" s="2">
        <f t="shared" ref="J3:J32" si="2">H3-I3</f>
        <v>19</v>
      </c>
    </row>
    <row r="4" spans="1:10" x14ac:dyDescent="0.35">
      <c r="A4" s="1">
        <v>3.3</v>
      </c>
      <c r="B4" s="1">
        <v>40</v>
      </c>
      <c r="C4" s="1">
        <v>4</v>
      </c>
      <c r="D4" s="1">
        <v>23</v>
      </c>
      <c r="E4" s="1">
        <f t="shared" si="0"/>
        <v>67</v>
      </c>
      <c r="F4" s="2">
        <v>475</v>
      </c>
      <c r="G4" s="2">
        <v>7419</v>
      </c>
      <c r="H4" s="2">
        <f t="shared" si="1"/>
        <v>7894</v>
      </c>
      <c r="I4" s="2">
        <v>7822</v>
      </c>
      <c r="J4" s="2">
        <f t="shared" si="2"/>
        <v>72</v>
      </c>
    </row>
    <row r="5" spans="1:10" x14ac:dyDescent="0.35">
      <c r="A5" s="1">
        <v>4.3</v>
      </c>
      <c r="B5" s="1">
        <v>4</v>
      </c>
      <c r="C5" s="1">
        <v>60</v>
      </c>
      <c r="D5" s="1">
        <v>0</v>
      </c>
      <c r="E5" s="1">
        <f t="shared" si="0"/>
        <v>64</v>
      </c>
      <c r="F5" s="2">
        <v>1229</v>
      </c>
      <c r="G5" s="2">
        <v>8303</v>
      </c>
      <c r="H5" s="2">
        <f t="shared" si="1"/>
        <v>9532</v>
      </c>
      <c r="I5" s="2">
        <v>9469</v>
      </c>
      <c r="J5" s="2">
        <f t="shared" si="2"/>
        <v>63</v>
      </c>
    </row>
    <row r="6" spans="1:10" x14ac:dyDescent="0.35">
      <c r="A6" s="1">
        <v>5.3</v>
      </c>
      <c r="B6" s="1">
        <v>0</v>
      </c>
      <c r="C6" s="1">
        <v>0</v>
      </c>
      <c r="D6" s="1">
        <v>0</v>
      </c>
      <c r="E6" s="1">
        <f t="shared" si="0"/>
        <v>0</v>
      </c>
      <c r="F6" s="2">
        <v>1580</v>
      </c>
      <c r="G6" s="2">
        <v>9878</v>
      </c>
      <c r="H6" s="2">
        <f t="shared" si="1"/>
        <v>11458</v>
      </c>
      <c r="I6" s="2">
        <v>11458</v>
      </c>
      <c r="J6" s="2">
        <f t="shared" si="2"/>
        <v>0</v>
      </c>
    </row>
    <row r="7" spans="1:10" x14ac:dyDescent="0.35">
      <c r="A7" s="1">
        <v>6.3</v>
      </c>
      <c r="B7" s="1">
        <v>7</v>
      </c>
      <c r="C7" s="1">
        <v>0</v>
      </c>
      <c r="D7" s="1">
        <v>0</v>
      </c>
      <c r="E7" s="1">
        <f t="shared" si="0"/>
        <v>7</v>
      </c>
      <c r="F7" s="2">
        <v>374</v>
      </c>
      <c r="G7" s="2">
        <v>10356</v>
      </c>
      <c r="H7" s="2">
        <f t="shared" si="1"/>
        <v>10730</v>
      </c>
      <c r="I7" s="2">
        <v>10714</v>
      </c>
      <c r="J7" s="2">
        <f t="shared" si="2"/>
        <v>16</v>
      </c>
    </row>
    <row r="8" spans="1:10" x14ac:dyDescent="0.35">
      <c r="A8" s="1">
        <v>7.3</v>
      </c>
      <c r="B8" s="1">
        <v>29</v>
      </c>
      <c r="C8" s="1">
        <v>4</v>
      </c>
      <c r="D8" s="1">
        <v>8</v>
      </c>
      <c r="E8" s="1">
        <f t="shared" si="0"/>
        <v>41</v>
      </c>
      <c r="F8" s="2">
        <v>626</v>
      </c>
      <c r="G8" s="2">
        <v>8657</v>
      </c>
      <c r="H8" s="2">
        <f t="shared" si="1"/>
        <v>9283</v>
      </c>
      <c r="I8" s="2">
        <v>9242</v>
      </c>
      <c r="J8" s="2">
        <f t="shared" si="2"/>
        <v>41</v>
      </c>
    </row>
    <row r="9" spans="1:10" x14ac:dyDescent="0.35">
      <c r="A9" s="1">
        <v>8.3000000000000007</v>
      </c>
      <c r="B9" s="1">
        <v>32</v>
      </c>
      <c r="C9" s="1">
        <v>0</v>
      </c>
      <c r="D9" s="1">
        <v>0</v>
      </c>
      <c r="E9" s="1">
        <f t="shared" si="0"/>
        <v>32</v>
      </c>
      <c r="F9" s="2">
        <v>366</v>
      </c>
      <c r="G9" s="2">
        <v>4194</v>
      </c>
      <c r="H9" s="2">
        <f t="shared" si="1"/>
        <v>4560</v>
      </c>
      <c r="I9" s="2">
        <v>4528</v>
      </c>
      <c r="J9" s="2">
        <f t="shared" si="2"/>
        <v>32</v>
      </c>
    </row>
    <row r="10" spans="1:10" x14ac:dyDescent="0.35">
      <c r="A10" s="1">
        <v>9.3000000000000007</v>
      </c>
      <c r="B10" s="1">
        <v>8</v>
      </c>
      <c r="C10" s="1">
        <v>0</v>
      </c>
      <c r="D10" s="1">
        <v>0</v>
      </c>
      <c r="E10" s="1">
        <f t="shared" si="0"/>
        <v>8</v>
      </c>
      <c r="F10" s="2">
        <v>607</v>
      </c>
      <c r="G10" s="2">
        <v>4897</v>
      </c>
      <c r="H10" s="2">
        <f t="shared" si="1"/>
        <v>5504</v>
      </c>
      <c r="I10" s="2">
        <v>5436</v>
      </c>
      <c r="J10" s="2">
        <f t="shared" si="2"/>
        <v>68</v>
      </c>
    </row>
    <row r="11" spans="1:10" x14ac:dyDescent="0.35">
      <c r="A11" s="1">
        <v>10.3</v>
      </c>
      <c r="B11" s="1">
        <v>0</v>
      </c>
      <c r="C11" s="1">
        <v>0</v>
      </c>
      <c r="D11" s="1">
        <v>0</v>
      </c>
      <c r="E11" s="1">
        <f t="shared" si="0"/>
        <v>0</v>
      </c>
      <c r="F11" s="2">
        <v>320</v>
      </c>
      <c r="G11" s="2">
        <v>5669</v>
      </c>
      <c r="H11" s="2">
        <f t="shared" si="1"/>
        <v>5989</v>
      </c>
      <c r="I11" s="2">
        <v>5983</v>
      </c>
      <c r="J11" s="2">
        <f t="shared" si="2"/>
        <v>6</v>
      </c>
    </row>
    <row r="12" spans="1:10" x14ac:dyDescent="0.35">
      <c r="A12" s="1">
        <v>11.3</v>
      </c>
      <c r="B12" s="1">
        <v>2</v>
      </c>
      <c r="C12" s="1">
        <v>0</v>
      </c>
      <c r="D12" s="1">
        <v>0</v>
      </c>
      <c r="E12" s="1">
        <f t="shared" si="0"/>
        <v>2</v>
      </c>
      <c r="F12" s="2">
        <v>200</v>
      </c>
      <c r="G12" s="2">
        <v>8770</v>
      </c>
      <c r="H12" s="2">
        <f t="shared" si="1"/>
        <v>8970</v>
      </c>
      <c r="I12" s="2">
        <v>8968</v>
      </c>
      <c r="J12" s="2">
        <f t="shared" si="2"/>
        <v>2</v>
      </c>
    </row>
    <row r="13" spans="1:10" x14ac:dyDescent="0.35">
      <c r="A13" s="1">
        <v>12.3</v>
      </c>
      <c r="B13" s="1">
        <v>1</v>
      </c>
      <c r="C13" s="1">
        <v>1</v>
      </c>
      <c r="D13" s="1">
        <v>2</v>
      </c>
      <c r="E13" s="1">
        <f t="shared" si="0"/>
        <v>4</v>
      </c>
      <c r="F13" s="2">
        <v>773</v>
      </c>
      <c r="G13" s="2">
        <v>7794</v>
      </c>
      <c r="H13" s="2">
        <f t="shared" si="1"/>
        <v>8567</v>
      </c>
      <c r="I13" s="2">
        <v>8543</v>
      </c>
      <c r="J13" s="2">
        <f t="shared" si="2"/>
        <v>24</v>
      </c>
    </row>
    <row r="14" spans="1:10" x14ac:dyDescent="0.35">
      <c r="A14" s="1">
        <v>13.3</v>
      </c>
      <c r="B14" s="1">
        <v>10</v>
      </c>
      <c r="C14" s="1">
        <v>24</v>
      </c>
      <c r="D14" s="1">
        <v>2</v>
      </c>
      <c r="E14" s="1">
        <f t="shared" si="0"/>
        <v>36</v>
      </c>
      <c r="F14" s="2">
        <v>451</v>
      </c>
      <c r="G14" s="2">
        <v>16880</v>
      </c>
      <c r="H14" s="2">
        <f t="shared" si="1"/>
        <v>17331</v>
      </c>
      <c r="I14" s="2">
        <v>17271</v>
      </c>
      <c r="J14" s="2">
        <f t="shared" si="2"/>
        <v>60</v>
      </c>
    </row>
    <row r="15" spans="1:10" x14ac:dyDescent="0.35">
      <c r="A15" s="1">
        <v>14.3</v>
      </c>
      <c r="B15" s="1">
        <v>10</v>
      </c>
      <c r="C15" s="1">
        <v>4</v>
      </c>
      <c r="D15" s="1">
        <v>0</v>
      </c>
      <c r="E15" s="1">
        <f>B15+C15+D15</f>
        <v>14</v>
      </c>
      <c r="F15" s="2">
        <v>783</v>
      </c>
      <c r="G15" s="2">
        <v>8414</v>
      </c>
      <c r="H15" s="2">
        <f t="shared" si="1"/>
        <v>9197</v>
      </c>
      <c r="I15" s="2">
        <v>9240</v>
      </c>
      <c r="J15" s="2">
        <f t="shared" si="2"/>
        <v>-43</v>
      </c>
    </row>
    <row r="16" spans="1:10" x14ac:dyDescent="0.35">
      <c r="A16" s="1">
        <v>15.3</v>
      </c>
      <c r="B16" s="1">
        <v>0</v>
      </c>
      <c r="C16" s="1">
        <v>0</v>
      </c>
      <c r="D16" s="1">
        <v>0</v>
      </c>
      <c r="E16" s="1">
        <f>B16+C16+D16</f>
        <v>0</v>
      </c>
      <c r="F16" s="2">
        <v>150</v>
      </c>
      <c r="G16" s="2">
        <v>9111</v>
      </c>
      <c r="H16" s="2">
        <f t="shared" si="1"/>
        <v>9261</v>
      </c>
      <c r="I16" s="2">
        <v>9261</v>
      </c>
      <c r="J16" s="2">
        <f t="shared" si="2"/>
        <v>0</v>
      </c>
    </row>
    <row r="17" spans="1:19" x14ac:dyDescent="0.35">
      <c r="A17" s="1">
        <v>16.3</v>
      </c>
      <c r="B17" s="1">
        <v>0</v>
      </c>
      <c r="C17" s="1">
        <v>0</v>
      </c>
      <c r="D17" s="1">
        <v>0</v>
      </c>
      <c r="E17" s="1">
        <f t="shared" si="0"/>
        <v>0</v>
      </c>
      <c r="F17" s="2">
        <v>710</v>
      </c>
      <c r="G17" s="2">
        <v>6965</v>
      </c>
      <c r="H17" s="2">
        <f t="shared" si="1"/>
        <v>7675</v>
      </c>
      <c r="I17" s="2">
        <v>7679</v>
      </c>
      <c r="J17" s="2">
        <f t="shared" si="2"/>
        <v>-4</v>
      </c>
    </row>
    <row r="18" spans="1:19" x14ac:dyDescent="0.35">
      <c r="A18" s="1">
        <v>17.3</v>
      </c>
      <c r="B18" s="1">
        <v>97</v>
      </c>
      <c r="C18" s="1">
        <v>0</v>
      </c>
      <c r="D18" s="1">
        <v>0</v>
      </c>
      <c r="E18" s="1">
        <f t="shared" si="0"/>
        <v>97</v>
      </c>
      <c r="F18" s="2">
        <v>1480</v>
      </c>
      <c r="G18" s="2">
        <v>10013</v>
      </c>
      <c r="H18" s="2">
        <f t="shared" si="1"/>
        <v>11493</v>
      </c>
      <c r="I18" s="2">
        <v>11396</v>
      </c>
      <c r="J18" s="2">
        <f t="shared" si="2"/>
        <v>97</v>
      </c>
    </row>
    <row r="19" spans="1:19" x14ac:dyDescent="0.35">
      <c r="A19" s="1">
        <v>18.3</v>
      </c>
      <c r="B19" s="1">
        <v>10</v>
      </c>
      <c r="C19" s="1">
        <v>18</v>
      </c>
      <c r="D19" s="1">
        <v>2</v>
      </c>
      <c r="E19" s="1">
        <f t="shared" si="0"/>
        <v>30</v>
      </c>
      <c r="F19" s="2">
        <v>773</v>
      </c>
      <c r="G19" s="2">
        <v>9900</v>
      </c>
      <c r="H19" s="2">
        <f t="shared" si="1"/>
        <v>10673</v>
      </c>
      <c r="I19" s="2">
        <v>10643</v>
      </c>
      <c r="J19" s="2">
        <f t="shared" si="2"/>
        <v>30</v>
      </c>
    </row>
    <row r="20" spans="1:19" x14ac:dyDescent="0.35">
      <c r="A20" s="1">
        <v>19.3</v>
      </c>
      <c r="B20" s="1">
        <v>5</v>
      </c>
      <c r="C20" s="1">
        <v>0</v>
      </c>
      <c r="D20" s="1">
        <v>0</v>
      </c>
      <c r="E20" s="1">
        <f t="shared" si="0"/>
        <v>5</v>
      </c>
      <c r="F20" s="2">
        <v>79</v>
      </c>
      <c r="G20" s="2">
        <v>13615</v>
      </c>
      <c r="H20" s="2">
        <f t="shared" si="1"/>
        <v>13694</v>
      </c>
      <c r="I20" s="2">
        <v>13878</v>
      </c>
      <c r="J20" s="2">
        <f>H20-I20</f>
        <v>-184</v>
      </c>
    </row>
    <row r="21" spans="1:19" x14ac:dyDescent="0.35">
      <c r="A21" s="1">
        <v>20.3</v>
      </c>
      <c r="B21" s="1">
        <v>0</v>
      </c>
      <c r="C21" s="1">
        <v>0</v>
      </c>
      <c r="D21" s="1">
        <v>8</v>
      </c>
      <c r="E21" s="1">
        <f t="shared" si="0"/>
        <v>8</v>
      </c>
      <c r="F21" s="2">
        <v>6175</v>
      </c>
      <c r="G21" s="2">
        <v>9027</v>
      </c>
      <c r="H21" s="2">
        <f t="shared" si="1"/>
        <v>15202</v>
      </c>
      <c r="I21" s="2">
        <v>15194</v>
      </c>
      <c r="J21" s="2">
        <f t="shared" si="2"/>
        <v>8</v>
      </c>
    </row>
    <row r="22" spans="1:19" x14ac:dyDescent="0.35">
      <c r="A22" s="1">
        <v>21.3</v>
      </c>
      <c r="B22" s="1">
        <v>53</v>
      </c>
      <c r="C22" s="1">
        <v>23</v>
      </c>
      <c r="D22" s="1">
        <v>13</v>
      </c>
      <c r="E22" s="1">
        <f t="shared" si="0"/>
        <v>89</v>
      </c>
      <c r="F22" s="2">
        <v>3675</v>
      </c>
      <c r="G22" s="2">
        <v>7443</v>
      </c>
      <c r="H22" s="2">
        <f>G22+F22</f>
        <v>11118</v>
      </c>
      <c r="I22" s="2">
        <v>10898</v>
      </c>
      <c r="J22" s="2">
        <f t="shared" si="2"/>
        <v>220</v>
      </c>
    </row>
    <row r="23" spans="1:19" x14ac:dyDescent="0.35">
      <c r="A23" s="1">
        <v>22.3</v>
      </c>
      <c r="B23" s="1">
        <v>13</v>
      </c>
      <c r="C23" s="1">
        <v>105</v>
      </c>
      <c r="D23" s="1">
        <v>0</v>
      </c>
      <c r="E23" s="1">
        <f t="shared" si="0"/>
        <v>118</v>
      </c>
      <c r="F23" s="2">
        <v>6902</v>
      </c>
      <c r="G23" s="2">
        <v>7561</v>
      </c>
      <c r="H23" s="2">
        <f t="shared" si="1"/>
        <v>14463</v>
      </c>
      <c r="I23" s="2">
        <v>14360</v>
      </c>
      <c r="J23" s="2">
        <f t="shared" si="2"/>
        <v>103</v>
      </c>
    </row>
    <row r="24" spans="1:19" x14ac:dyDescent="0.35">
      <c r="A24" s="1">
        <v>23.3</v>
      </c>
      <c r="B24" s="1">
        <v>52</v>
      </c>
      <c r="C24" s="1">
        <v>2</v>
      </c>
      <c r="D24" s="1">
        <v>0</v>
      </c>
      <c r="E24" s="1">
        <f t="shared" si="0"/>
        <v>54</v>
      </c>
      <c r="F24" s="2">
        <v>403</v>
      </c>
      <c r="G24" s="2">
        <v>4944</v>
      </c>
      <c r="H24" s="2">
        <f t="shared" si="1"/>
        <v>5347</v>
      </c>
      <c r="I24" s="2">
        <v>5292</v>
      </c>
      <c r="J24" s="2">
        <f t="shared" si="2"/>
        <v>55</v>
      </c>
    </row>
    <row r="25" spans="1:19" x14ac:dyDescent="0.35">
      <c r="A25" s="1">
        <v>24.3</v>
      </c>
      <c r="B25" s="1">
        <v>55</v>
      </c>
      <c r="C25" s="1">
        <v>0</v>
      </c>
      <c r="D25" s="1">
        <v>30</v>
      </c>
      <c r="E25" s="1">
        <f t="shared" si="0"/>
        <v>85</v>
      </c>
      <c r="F25" s="2">
        <v>2070</v>
      </c>
      <c r="G25" s="2">
        <v>8508</v>
      </c>
      <c r="H25" s="2">
        <f t="shared" si="1"/>
        <v>10578</v>
      </c>
      <c r="I25" s="2">
        <v>10493</v>
      </c>
      <c r="J25" s="2">
        <f t="shared" si="2"/>
        <v>85</v>
      </c>
    </row>
    <row r="26" spans="1:19" x14ac:dyDescent="0.35">
      <c r="A26" s="1">
        <v>25.3</v>
      </c>
      <c r="B26" s="1">
        <v>0</v>
      </c>
      <c r="C26" s="1">
        <v>69</v>
      </c>
      <c r="D26" s="1">
        <v>0</v>
      </c>
      <c r="E26" s="1">
        <f t="shared" si="0"/>
        <v>69</v>
      </c>
      <c r="F26" s="2">
        <v>1540</v>
      </c>
      <c r="G26" s="2">
        <v>7492</v>
      </c>
      <c r="H26" s="2">
        <f t="shared" si="1"/>
        <v>9032</v>
      </c>
      <c r="I26" s="2">
        <v>9039</v>
      </c>
      <c r="J26" s="2">
        <f t="shared" si="2"/>
        <v>-7</v>
      </c>
    </row>
    <row r="27" spans="1:19" x14ac:dyDescent="0.35">
      <c r="A27" s="1">
        <v>26.3</v>
      </c>
      <c r="B27" s="1">
        <v>0</v>
      </c>
      <c r="C27" s="1">
        <v>0</v>
      </c>
      <c r="D27" s="1">
        <v>109</v>
      </c>
      <c r="E27" s="1">
        <f t="shared" si="0"/>
        <v>109</v>
      </c>
      <c r="F27" s="2">
        <v>3130</v>
      </c>
      <c r="G27" s="2">
        <v>9527</v>
      </c>
      <c r="H27" s="2">
        <f t="shared" si="1"/>
        <v>12657</v>
      </c>
      <c r="I27" s="2">
        <v>12548</v>
      </c>
      <c r="J27" s="2">
        <f>H27-I27</f>
        <v>109</v>
      </c>
    </row>
    <row r="28" spans="1:19" x14ac:dyDescent="0.35">
      <c r="A28" s="1">
        <v>27.3</v>
      </c>
      <c r="B28" s="1">
        <v>0</v>
      </c>
      <c r="C28" s="1">
        <v>0</v>
      </c>
      <c r="D28" s="1">
        <v>3</v>
      </c>
      <c r="E28" s="1">
        <f t="shared" si="0"/>
        <v>3</v>
      </c>
      <c r="F28" s="2">
        <v>3322</v>
      </c>
      <c r="G28" s="2">
        <v>6872</v>
      </c>
      <c r="H28" s="2">
        <f t="shared" si="1"/>
        <v>10194</v>
      </c>
      <c r="I28" s="2">
        <v>10191</v>
      </c>
      <c r="J28" s="2">
        <f>H28-I28</f>
        <v>3</v>
      </c>
    </row>
    <row r="29" spans="1:19" x14ac:dyDescent="0.35">
      <c r="A29" s="1">
        <v>28.3</v>
      </c>
      <c r="B29" s="1">
        <v>53</v>
      </c>
      <c r="C29" s="1">
        <v>43</v>
      </c>
      <c r="D29" s="1">
        <v>0</v>
      </c>
      <c r="E29" s="1">
        <f t="shared" si="0"/>
        <v>96</v>
      </c>
      <c r="F29" s="2">
        <v>490</v>
      </c>
      <c r="G29" s="2">
        <v>7084</v>
      </c>
      <c r="H29" s="2">
        <f t="shared" si="1"/>
        <v>7574</v>
      </c>
      <c r="I29" s="2">
        <v>7478</v>
      </c>
      <c r="J29" s="2">
        <f t="shared" si="2"/>
        <v>96</v>
      </c>
      <c r="S29" t="s">
        <v>14</v>
      </c>
    </row>
    <row r="30" spans="1:19" x14ac:dyDescent="0.35">
      <c r="A30" s="1">
        <v>29.3</v>
      </c>
      <c r="B30" s="1">
        <v>5</v>
      </c>
      <c r="C30" s="1">
        <v>0</v>
      </c>
      <c r="D30" s="1">
        <v>45</v>
      </c>
      <c r="E30" s="1">
        <f t="shared" si="0"/>
        <v>50</v>
      </c>
      <c r="F30" s="2">
        <v>1328</v>
      </c>
      <c r="G30" s="2">
        <v>8324</v>
      </c>
      <c r="H30" s="2">
        <f t="shared" si="1"/>
        <v>9652</v>
      </c>
      <c r="I30" s="2">
        <v>9602</v>
      </c>
      <c r="J30" s="2">
        <f t="shared" si="2"/>
        <v>50</v>
      </c>
    </row>
    <row r="31" spans="1:19" x14ac:dyDescent="0.35">
      <c r="A31" s="1">
        <v>30.3</v>
      </c>
      <c r="B31" s="1">
        <v>0</v>
      </c>
      <c r="C31" s="1">
        <v>5</v>
      </c>
      <c r="D31" s="1">
        <v>0</v>
      </c>
      <c r="E31" s="1">
        <f t="shared" si="0"/>
        <v>5</v>
      </c>
      <c r="F31" s="2">
        <v>1842</v>
      </c>
      <c r="G31" s="2">
        <v>6940</v>
      </c>
      <c r="H31" s="2">
        <f t="shared" si="1"/>
        <v>8782</v>
      </c>
      <c r="I31" s="2">
        <v>8755</v>
      </c>
      <c r="J31" s="2">
        <f t="shared" si="2"/>
        <v>27</v>
      </c>
    </row>
    <row r="32" spans="1:19" x14ac:dyDescent="0.35">
      <c r="A32" s="1">
        <v>31.3</v>
      </c>
      <c r="B32" s="1">
        <v>0</v>
      </c>
      <c r="C32" s="1">
        <v>0</v>
      </c>
      <c r="D32" s="1">
        <v>6</v>
      </c>
      <c r="E32" s="1">
        <f t="shared" si="0"/>
        <v>6</v>
      </c>
      <c r="F32" s="2">
        <v>1300</v>
      </c>
      <c r="G32" s="2">
        <v>6125</v>
      </c>
      <c r="H32" s="2">
        <f t="shared" si="1"/>
        <v>7425</v>
      </c>
      <c r="I32" s="2">
        <v>7550</v>
      </c>
      <c r="J32" s="2">
        <f t="shared" si="2"/>
        <v>-125</v>
      </c>
    </row>
    <row r="33" spans="5:6" x14ac:dyDescent="0.35">
      <c r="E33" s="1">
        <f>SUM(E2:E32)</f>
        <v>1117</v>
      </c>
    </row>
    <row r="34" spans="5:6" x14ac:dyDescent="0.35">
      <c r="F34" s="2" t="s">
        <v>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56B2-7089-42AE-B9E2-B6FC56786865}">
  <dimension ref="A1:J32"/>
  <sheetViews>
    <sheetView topLeftCell="A28" workbookViewId="0">
      <selection activeCell="G24" sqref="G24"/>
    </sheetView>
  </sheetViews>
  <sheetFormatPr defaultColWidth="8.81640625" defaultRowHeight="14.5" x14ac:dyDescent="0.35"/>
  <cols>
    <col min="1" max="1" width="12" style="1" customWidth="1"/>
    <col min="2" max="2" width="14" style="1" customWidth="1"/>
    <col min="3" max="3" width="15.453125" style="1" customWidth="1"/>
    <col min="4" max="4" width="14.81640625" style="1" customWidth="1"/>
    <col min="5" max="5" width="16" style="1" customWidth="1"/>
    <col min="6" max="6" width="31.90625" style="2" customWidth="1"/>
    <col min="7" max="7" width="16.453125" style="2" customWidth="1"/>
    <col min="8" max="8" width="23.453125" style="2" customWidth="1"/>
    <col min="9" max="9" width="18.36328125" style="2" customWidth="1"/>
    <col min="10" max="10" width="13.36328125" style="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2" t="s">
        <v>9</v>
      </c>
      <c r="H1" s="2" t="s">
        <v>5</v>
      </c>
      <c r="I1" s="2" t="s">
        <v>6</v>
      </c>
      <c r="J1" s="2" t="s">
        <v>7</v>
      </c>
    </row>
    <row r="2" spans="1:10" x14ac:dyDescent="0.35">
      <c r="A2" s="1">
        <v>1.2</v>
      </c>
      <c r="B2" s="1">
        <v>0</v>
      </c>
      <c r="C2" s="1">
        <v>0</v>
      </c>
      <c r="D2" s="1">
        <v>0</v>
      </c>
      <c r="E2" s="1">
        <f>B2+C2+D2</f>
        <v>0</v>
      </c>
      <c r="F2" s="2">
        <v>5870</v>
      </c>
      <c r="G2" s="2">
        <v>11744</v>
      </c>
      <c r="H2" s="2">
        <f>G2+F2</f>
        <v>17614</v>
      </c>
      <c r="I2" s="2">
        <v>17611</v>
      </c>
      <c r="J2" s="2">
        <f>H2-I2</f>
        <v>3</v>
      </c>
    </row>
    <row r="3" spans="1:10" x14ac:dyDescent="0.35">
      <c r="A3" s="1">
        <v>2.2000000000000002</v>
      </c>
      <c r="B3" s="1">
        <v>35</v>
      </c>
      <c r="C3" s="1">
        <v>5</v>
      </c>
      <c r="D3" s="1">
        <v>0</v>
      </c>
      <c r="E3" s="1">
        <f t="shared" ref="E3:E29" si="0">B3+C3+D3</f>
        <v>40</v>
      </c>
      <c r="F3" s="2">
        <v>1970</v>
      </c>
      <c r="G3" s="2">
        <v>7386</v>
      </c>
      <c r="H3" s="2">
        <f t="shared" ref="H3:H29" si="1">G3+F3</f>
        <v>9356</v>
      </c>
      <c r="I3" s="2">
        <v>9136</v>
      </c>
      <c r="J3" s="2">
        <f t="shared" ref="J3:J29" si="2">H3-I3</f>
        <v>220</v>
      </c>
    </row>
    <row r="4" spans="1:10" x14ac:dyDescent="0.35">
      <c r="A4" s="1">
        <v>3.2</v>
      </c>
      <c r="B4" s="1">
        <v>0</v>
      </c>
      <c r="C4" s="1">
        <v>30</v>
      </c>
      <c r="D4" s="1">
        <v>0</v>
      </c>
      <c r="E4" s="1">
        <f t="shared" si="0"/>
        <v>30</v>
      </c>
      <c r="F4" s="2">
        <v>896</v>
      </c>
      <c r="G4" s="2">
        <v>10214</v>
      </c>
      <c r="H4" s="2">
        <f t="shared" si="1"/>
        <v>11110</v>
      </c>
      <c r="I4" s="2">
        <v>11078</v>
      </c>
      <c r="J4" s="2">
        <f t="shared" si="2"/>
        <v>32</v>
      </c>
    </row>
    <row r="5" spans="1:10" x14ac:dyDescent="0.35">
      <c r="A5" s="1">
        <v>4.2</v>
      </c>
      <c r="B5" s="1">
        <v>79</v>
      </c>
      <c r="C5" s="1">
        <v>11</v>
      </c>
      <c r="D5" s="1">
        <v>21</v>
      </c>
      <c r="E5" s="1">
        <f t="shared" si="0"/>
        <v>111</v>
      </c>
      <c r="F5" s="2">
        <v>4738</v>
      </c>
      <c r="G5" s="2">
        <v>12798</v>
      </c>
      <c r="H5" s="2">
        <f t="shared" si="1"/>
        <v>17536</v>
      </c>
      <c r="I5" s="2">
        <v>17405</v>
      </c>
      <c r="J5" s="2">
        <f t="shared" si="2"/>
        <v>131</v>
      </c>
    </row>
    <row r="6" spans="1:10" x14ac:dyDescent="0.35">
      <c r="A6" s="1">
        <v>5.2</v>
      </c>
      <c r="B6" s="1">
        <v>0</v>
      </c>
      <c r="C6" s="1">
        <v>15</v>
      </c>
      <c r="D6" s="1">
        <v>0</v>
      </c>
      <c r="E6" s="1">
        <f t="shared" si="0"/>
        <v>15</v>
      </c>
      <c r="F6" s="2">
        <v>4276</v>
      </c>
      <c r="G6" s="2">
        <v>8432</v>
      </c>
      <c r="H6" s="2">
        <f t="shared" si="1"/>
        <v>12708</v>
      </c>
      <c r="I6" s="2">
        <v>12714</v>
      </c>
      <c r="J6" s="2">
        <f t="shared" si="2"/>
        <v>-6</v>
      </c>
    </row>
    <row r="7" spans="1:10" x14ac:dyDescent="0.35">
      <c r="A7" s="1">
        <v>6.2</v>
      </c>
      <c r="B7" s="1">
        <v>0</v>
      </c>
      <c r="C7" s="1">
        <v>18</v>
      </c>
      <c r="D7" s="1">
        <v>0</v>
      </c>
      <c r="E7" s="1">
        <f t="shared" si="0"/>
        <v>18</v>
      </c>
      <c r="F7" s="2">
        <v>1100</v>
      </c>
      <c r="G7" s="2">
        <v>16036</v>
      </c>
      <c r="H7" s="2">
        <f t="shared" si="1"/>
        <v>17136</v>
      </c>
      <c r="I7" s="2">
        <v>17124</v>
      </c>
      <c r="J7" s="2">
        <f t="shared" si="2"/>
        <v>12</v>
      </c>
    </row>
    <row r="8" spans="1:10" x14ac:dyDescent="0.35">
      <c r="A8" s="1">
        <v>7.2</v>
      </c>
      <c r="B8" s="1">
        <v>0</v>
      </c>
      <c r="C8" s="1">
        <v>0</v>
      </c>
      <c r="D8" s="1">
        <v>0</v>
      </c>
      <c r="E8" s="1">
        <f t="shared" si="0"/>
        <v>0</v>
      </c>
      <c r="F8" s="2">
        <v>2670</v>
      </c>
      <c r="G8" s="2">
        <v>8094</v>
      </c>
      <c r="H8" s="2">
        <f t="shared" si="1"/>
        <v>10764</v>
      </c>
      <c r="I8" s="2">
        <v>10747</v>
      </c>
      <c r="J8" s="2">
        <f t="shared" si="2"/>
        <v>17</v>
      </c>
    </row>
    <row r="9" spans="1:10" x14ac:dyDescent="0.35">
      <c r="A9" s="1">
        <v>8.1999999999999993</v>
      </c>
      <c r="B9" s="1">
        <v>11</v>
      </c>
      <c r="C9" s="1">
        <v>0</v>
      </c>
      <c r="D9" s="1">
        <v>0</v>
      </c>
      <c r="E9" s="1">
        <f t="shared" si="0"/>
        <v>11</v>
      </c>
      <c r="F9" s="2">
        <v>1023</v>
      </c>
      <c r="G9" s="2">
        <v>12368</v>
      </c>
      <c r="H9" s="2">
        <f t="shared" si="1"/>
        <v>13391</v>
      </c>
      <c r="I9" s="2">
        <v>13379</v>
      </c>
      <c r="J9" s="2">
        <f t="shared" si="2"/>
        <v>12</v>
      </c>
    </row>
    <row r="10" spans="1:10" x14ac:dyDescent="0.35">
      <c r="A10" s="1">
        <v>9.1999999999999993</v>
      </c>
      <c r="B10" s="1">
        <v>295</v>
      </c>
      <c r="C10" s="1">
        <v>0</v>
      </c>
      <c r="D10" s="1">
        <v>0</v>
      </c>
      <c r="E10" s="1">
        <f t="shared" si="0"/>
        <v>295</v>
      </c>
      <c r="F10" s="2">
        <v>1510</v>
      </c>
      <c r="G10" s="2">
        <v>13444</v>
      </c>
      <c r="H10" s="2">
        <f t="shared" si="1"/>
        <v>14954</v>
      </c>
      <c r="I10" s="2">
        <v>14574</v>
      </c>
      <c r="J10" s="2">
        <f t="shared" si="2"/>
        <v>380</v>
      </c>
    </row>
    <row r="11" spans="1:10" x14ac:dyDescent="0.35">
      <c r="A11" s="1">
        <v>10.199999999999999</v>
      </c>
      <c r="B11" s="1">
        <v>30</v>
      </c>
      <c r="C11" s="1">
        <v>0</v>
      </c>
      <c r="D11" s="1">
        <v>50</v>
      </c>
      <c r="E11" s="1">
        <f t="shared" si="0"/>
        <v>80</v>
      </c>
      <c r="F11" s="2">
        <v>441</v>
      </c>
      <c r="G11" s="2">
        <v>12817</v>
      </c>
      <c r="H11" s="2">
        <f t="shared" si="1"/>
        <v>13258</v>
      </c>
      <c r="I11" s="2">
        <v>13226</v>
      </c>
      <c r="J11" s="2">
        <f t="shared" si="2"/>
        <v>32</v>
      </c>
    </row>
    <row r="12" spans="1:10" x14ac:dyDescent="0.35">
      <c r="A12" s="1">
        <v>11.2</v>
      </c>
      <c r="B12" s="1">
        <v>0</v>
      </c>
      <c r="C12" s="1">
        <v>0</v>
      </c>
      <c r="D12" s="1">
        <v>0</v>
      </c>
      <c r="E12" s="1">
        <f t="shared" si="0"/>
        <v>0</v>
      </c>
      <c r="F12" s="2">
        <v>1852</v>
      </c>
      <c r="G12" s="2">
        <v>12417</v>
      </c>
      <c r="H12" s="2">
        <f t="shared" si="1"/>
        <v>14269</v>
      </c>
      <c r="I12" s="2">
        <v>14267</v>
      </c>
      <c r="J12" s="2">
        <f t="shared" si="2"/>
        <v>2</v>
      </c>
    </row>
    <row r="13" spans="1:10" x14ac:dyDescent="0.35">
      <c r="A13" s="1">
        <v>12.2</v>
      </c>
      <c r="B13" s="1">
        <v>0</v>
      </c>
      <c r="C13" s="1">
        <v>0</v>
      </c>
      <c r="D13" s="1">
        <v>0</v>
      </c>
      <c r="E13" s="1">
        <f t="shared" si="0"/>
        <v>0</v>
      </c>
      <c r="F13" s="2">
        <v>1117</v>
      </c>
      <c r="G13" s="2">
        <v>8822</v>
      </c>
      <c r="H13" s="2">
        <f t="shared" si="1"/>
        <v>9939</v>
      </c>
      <c r="I13" s="2">
        <v>9937</v>
      </c>
      <c r="J13" s="2">
        <f t="shared" si="2"/>
        <v>2</v>
      </c>
    </row>
    <row r="14" spans="1:10" x14ac:dyDescent="0.35">
      <c r="A14" s="1">
        <v>13.2</v>
      </c>
      <c r="B14" s="1">
        <v>0</v>
      </c>
      <c r="C14" s="1">
        <v>0</v>
      </c>
      <c r="D14" s="1">
        <v>0</v>
      </c>
      <c r="E14" s="1">
        <f t="shared" si="0"/>
        <v>0</v>
      </c>
      <c r="F14" s="2">
        <v>2940</v>
      </c>
      <c r="G14" s="2">
        <v>12412</v>
      </c>
      <c r="H14" s="2">
        <f t="shared" si="1"/>
        <v>15352</v>
      </c>
      <c r="I14" s="2">
        <v>15351</v>
      </c>
      <c r="J14" s="2">
        <f t="shared" si="2"/>
        <v>1</v>
      </c>
    </row>
    <row r="15" spans="1:10" x14ac:dyDescent="0.35">
      <c r="A15" s="1">
        <v>14.2</v>
      </c>
      <c r="B15" s="1">
        <v>100</v>
      </c>
      <c r="C15" s="1">
        <v>0</v>
      </c>
      <c r="D15" s="1">
        <v>0</v>
      </c>
      <c r="E15" s="1">
        <f t="shared" si="0"/>
        <v>100</v>
      </c>
      <c r="F15" s="2">
        <v>3365</v>
      </c>
      <c r="G15" s="2">
        <v>9286</v>
      </c>
      <c r="H15" s="2">
        <f t="shared" si="1"/>
        <v>12651</v>
      </c>
      <c r="I15" s="2">
        <v>12374</v>
      </c>
      <c r="J15" s="2">
        <f t="shared" si="2"/>
        <v>277</v>
      </c>
    </row>
    <row r="16" spans="1:10" x14ac:dyDescent="0.35">
      <c r="A16" s="1">
        <v>15.2</v>
      </c>
      <c r="B16" s="1">
        <v>104</v>
      </c>
      <c r="C16" s="1">
        <v>15</v>
      </c>
      <c r="D16" s="1">
        <v>0</v>
      </c>
      <c r="E16" s="1">
        <f t="shared" si="0"/>
        <v>119</v>
      </c>
      <c r="F16" s="2">
        <v>1659</v>
      </c>
      <c r="G16" s="2">
        <v>11190</v>
      </c>
      <c r="H16" s="2">
        <f t="shared" si="1"/>
        <v>12849</v>
      </c>
      <c r="I16" s="2">
        <v>12734</v>
      </c>
      <c r="J16" s="2">
        <f t="shared" si="2"/>
        <v>115</v>
      </c>
    </row>
    <row r="17" spans="1:10" x14ac:dyDescent="0.35">
      <c r="A17" s="1">
        <v>16.2</v>
      </c>
      <c r="B17" s="1">
        <v>0</v>
      </c>
      <c r="C17" s="1">
        <v>0</v>
      </c>
      <c r="D17" s="1">
        <v>0</v>
      </c>
      <c r="E17" s="1">
        <f t="shared" si="0"/>
        <v>0</v>
      </c>
      <c r="F17" s="2">
        <v>3736</v>
      </c>
      <c r="G17" s="2">
        <v>4265</v>
      </c>
      <c r="H17" s="2">
        <f t="shared" si="1"/>
        <v>8001</v>
      </c>
      <c r="I17" s="2">
        <v>7999</v>
      </c>
      <c r="J17" s="2">
        <f t="shared" si="2"/>
        <v>2</v>
      </c>
    </row>
    <row r="18" spans="1:10" x14ac:dyDescent="0.35">
      <c r="A18" s="1">
        <v>17.2</v>
      </c>
      <c r="B18" s="1">
        <v>6</v>
      </c>
      <c r="C18" s="1">
        <v>23</v>
      </c>
      <c r="D18" s="1">
        <v>0</v>
      </c>
      <c r="E18" s="1">
        <f t="shared" si="0"/>
        <v>29</v>
      </c>
      <c r="F18" s="2">
        <v>1405</v>
      </c>
      <c r="G18" s="2">
        <v>14840</v>
      </c>
      <c r="H18" s="2">
        <f t="shared" si="1"/>
        <v>16245</v>
      </c>
      <c r="I18" s="2">
        <v>16225</v>
      </c>
      <c r="J18" s="2">
        <f t="shared" si="2"/>
        <v>20</v>
      </c>
    </row>
    <row r="19" spans="1:10" x14ac:dyDescent="0.35">
      <c r="A19" s="1">
        <v>18.2</v>
      </c>
      <c r="B19" s="1">
        <v>40</v>
      </c>
      <c r="C19" s="1">
        <v>0</v>
      </c>
      <c r="D19" s="1">
        <v>0</v>
      </c>
      <c r="E19" s="1">
        <f t="shared" si="0"/>
        <v>40</v>
      </c>
      <c r="F19" s="2">
        <v>3066</v>
      </c>
      <c r="G19" s="2">
        <v>17528</v>
      </c>
      <c r="H19" s="2">
        <f t="shared" si="1"/>
        <v>20594</v>
      </c>
      <c r="I19" s="2">
        <v>20563</v>
      </c>
      <c r="J19" s="2">
        <f t="shared" si="2"/>
        <v>31</v>
      </c>
    </row>
    <row r="20" spans="1:10" x14ac:dyDescent="0.35">
      <c r="A20" s="1">
        <v>19.2</v>
      </c>
      <c r="B20" s="1">
        <v>0</v>
      </c>
      <c r="C20" s="1">
        <v>0</v>
      </c>
      <c r="D20" s="1">
        <v>17</v>
      </c>
      <c r="E20" s="1">
        <f t="shared" si="0"/>
        <v>17</v>
      </c>
      <c r="F20" s="2">
        <v>191</v>
      </c>
      <c r="G20" s="2">
        <v>10381</v>
      </c>
      <c r="H20" s="2">
        <f t="shared" si="1"/>
        <v>10572</v>
      </c>
      <c r="I20" s="2">
        <v>10555</v>
      </c>
      <c r="J20" s="2">
        <f t="shared" si="2"/>
        <v>17</v>
      </c>
    </row>
    <row r="21" spans="1:10" x14ac:dyDescent="0.35">
      <c r="A21" s="1">
        <v>20.2</v>
      </c>
      <c r="B21" s="1">
        <v>30</v>
      </c>
      <c r="C21" s="1">
        <v>0</v>
      </c>
      <c r="D21" s="1">
        <v>0</v>
      </c>
      <c r="E21" s="1">
        <f t="shared" si="0"/>
        <v>30</v>
      </c>
      <c r="F21" s="2">
        <v>1648</v>
      </c>
      <c r="G21" s="2">
        <v>8705</v>
      </c>
      <c r="H21" s="2">
        <f t="shared" si="1"/>
        <v>10353</v>
      </c>
      <c r="I21" s="2">
        <v>10328</v>
      </c>
      <c r="J21" s="2">
        <f t="shared" si="2"/>
        <v>25</v>
      </c>
    </row>
    <row r="22" spans="1:10" x14ac:dyDescent="0.35">
      <c r="A22" s="1">
        <v>21.2</v>
      </c>
      <c r="B22" s="1">
        <v>100</v>
      </c>
      <c r="C22" s="1">
        <v>0</v>
      </c>
      <c r="D22" s="1">
        <v>75</v>
      </c>
      <c r="E22" s="1">
        <f t="shared" si="0"/>
        <v>175</v>
      </c>
      <c r="F22" s="2">
        <v>3642</v>
      </c>
      <c r="G22" s="2">
        <v>8227</v>
      </c>
      <c r="H22" s="2">
        <f>G22+F22</f>
        <v>11869</v>
      </c>
      <c r="I22" s="2">
        <v>11696</v>
      </c>
      <c r="J22" s="2">
        <f t="shared" si="2"/>
        <v>173</v>
      </c>
    </row>
    <row r="23" spans="1:10" x14ac:dyDescent="0.35">
      <c r="A23" s="1">
        <v>22.2</v>
      </c>
      <c r="B23" s="1">
        <v>0</v>
      </c>
      <c r="C23" s="1">
        <v>0</v>
      </c>
      <c r="D23" s="1">
        <v>0</v>
      </c>
      <c r="E23" s="1">
        <f t="shared" si="0"/>
        <v>0</v>
      </c>
      <c r="F23" s="2">
        <v>1170</v>
      </c>
      <c r="G23" s="2">
        <f>10556+88</f>
        <v>10644</v>
      </c>
      <c r="H23" s="2">
        <f t="shared" si="1"/>
        <v>11814</v>
      </c>
      <c r="I23" s="2">
        <v>11814</v>
      </c>
      <c r="J23" s="2">
        <f t="shared" si="2"/>
        <v>0</v>
      </c>
    </row>
    <row r="24" spans="1:10" x14ac:dyDescent="0.35">
      <c r="A24" s="1">
        <v>23.2</v>
      </c>
      <c r="B24" s="1">
        <v>0</v>
      </c>
      <c r="C24" s="1">
        <v>0</v>
      </c>
      <c r="D24" s="1">
        <v>0</v>
      </c>
      <c r="E24" s="1">
        <f t="shared" si="0"/>
        <v>0</v>
      </c>
      <c r="F24" s="2">
        <v>914</v>
      </c>
      <c r="G24" s="2">
        <v>5686</v>
      </c>
      <c r="H24" s="2">
        <f t="shared" si="1"/>
        <v>6600</v>
      </c>
      <c r="I24" s="2">
        <v>6582</v>
      </c>
      <c r="J24" s="2">
        <f t="shared" si="2"/>
        <v>18</v>
      </c>
    </row>
    <row r="25" spans="1:10" x14ac:dyDescent="0.35">
      <c r="A25" s="1">
        <v>24.2</v>
      </c>
      <c r="B25" s="1">
        <v>11</v>
      </c>
      <c r="C25" s="1">
        <v>67</v>
      </c>
      <c r="D25" s="1">
        <v>5</v>
      </c>
      <c r="E25" s="1">
        <f t="shared" si="0"/>
        <v>83</v>
      </c>
      <c r="F25" s="2">
        <v>3823</v>
      </c>
      <c r="G25" s="2">
        <v>7462</v>
      </c>
      <c r="H25" s="2">
        <f t="shared" si="1"/>
        <v>11285</v>
      </c>
      <c r="I25" s="2">
        <v>11211</v>
      </c>
      <c r="J25" s="2">
        <f t="shared" si="2"/>
        <v>74</v>
      </c>
    </row>
    <row r="26" spans="1:10" x14ac:dyDescent="0.35">
      <c r="A26" s="1">
        <v>25.2</v>
      </c>
      <c r="B26" s="1">
        <v>0</v>
      </c>
      <c r="C26" s="1">
        <v>0</v>
      </c>
      <c r="D26" s="1">
        <v>0</v>
      </c>
      <c r="E26" s="1">
        <f t="shared" si="0"/>
        <v>0</v>
      </c>
      <c r="F26" s="2">
        <v>470</v>
      </c>
      <c r="G26" s="2">
        <v>7052</v>
      </c>
      <c r="H26" s="2">
        <f t="shared" si="1"/>
        <v>7522</v>
      </c>
      <c r="I26" s="2">
        <v>7494</v>
      </c>
      <c r="J26" s="2">
        <f t="shared" si="2"/>
        <v>28</v>
      </c>
    </row>
    <row r="27" spans="1:10" x14ac:dyDescent="0.35">
      <c r="A27" s="1">
        <v>26.2</v>
      </c>
      <c r="B27" s="1">
        <v>-13</v>
      </c>
      <c r="C27" s="1">
        <v>11</v>
      </c>
      <c r="D27" s="1">
        <v>-4</v>
      </c>
      <c r="E27" s="1">
        <f t="shared" si="0"/>
        <v>-6</v>
      </c>
      <c r="F27" s="2">
        <v>6366</v>
      </c>
      <c r="G27" s="2">
        <v>7655</v>
      </c>
      <c r="H27" s="2">
        <f t="shared" si="1"/>
        <v>14021</v>
      </c>
      <c r="I27" s="2">
        <v>14027</v>
      </c>
      <c r="J27" s="2">
        <f t="shared" si="2"/>
        <v>-6</v>
      </c>
    </row>
    <row r="28" spans="1:10" x14ac:dyDescent="0.35">
      <c r="A28" s="1">
        <v>27.2</v>
      </c>
      <c r="B28" s="1">
        <v>0</v>
      </c>
      <c r="C28" s="1">
        <v>88</v>
      </c>
      <c r="D28" s="1">
        <v>31</v>
      </c>
      <c r="E28" s="1">
        <f t="shared" si="0"/>
        <v>119</v>
      </c>
      <c r="F28" s="2">
        <v>2800</v>
      </c>
      <c r="G28" s="2">
        <v>6531</v>
      </c>
      <c r="H28" s="2">
        <f t="shared" si="1"/>
        <v>9331</v>
      </c>
      <c r="I28" s="2">
        <v>9032</v>
      </c>
      <c r="J28" s="2">
        <f t="shared" si="2"/>
        <v>299</v>
      </c>
    </row>
    <row r="29" spans="1:10" x14ac:dyDescent="0.35">
      <c r="A29" s="1">
        <v>28.2</v>
      </c>
      <c r="B29" s="1">
        <v>136</v>
      </c>
      <c r="C29" s="1">
        <v>42</v>
      </c>
      <c r="D29" s="1">
        <v>0</v>
      </c>
      <c r="E29" s="1">
        <f t="shared" si="0"/>
        <v>178</v>
      </c>
      <c r="F29" s="2">
        <v>1686</v>
      </c>
      <c r="G29" s="2">
        <v>9308</v>
      </c>
      <c r="H29" s="2">
        <f t="shared" si="1"/>
        <v>10994</v>
      </c>
      <c r="I29" s="2">
        <v>10826</v>
      </c>
      <c r="J29" s="2">
        <f t="shared" si="2"/>
        <v>168</v>
      </c>
    </row>
    <row r="31" spans="1:10" x14ac:dyDescent="0.35">
      <c r="E31" s="1">
        <f>SUM(E2:E29)</f>
        <v>1484</v>
      </c>
      <c r="F31" s="2" t="s">
        <v>13</v>
      </c>
      <c r="J31" s="2">
        <f>SUM(J2:J29)</f>
        <v>2079</v>
      </c>
    </row>
    <row r="32" spans="1:10" x14ac:dyDescent="0.35">
      <c r="E32" s="1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64482-ABDD-472B-921E-775820EAC3EA}">
  <dimension ref="A1:J33"/>
  <sheetViews>
    <sheetView topLeftCell="A7" workbookViewId="0">
      <selection activeCell="E26" sqref="E26"/>
    </sheetView>
  </sheetViews>
  <sheetFormatPr defaultColWidth="8.81640625" defaultRowHeight="14.5" x14ac:dyDescent="0.35"/>
  <cols>
    <col min="1" max="1" width="12" style="1" customWidth="1"/>
    <col min="2" max="2" width="14" style="1" customWidth="1"/>
    <col min="3" max="3" width="15.453125" style="1" customWidth="1"/>
    <col min="4" max="4" width="14.81640625" style="1" customWidth="1"/>
    <col min="5" max="5" width="16" style="1" customWidth="1"/>
    <col min="6" max="7" width="16.453125" style="2" customWidth="1"/>
    <col min="8" max="8" width="23.453125" customWidth="1"/>
    <col min="9" max="9" width="18.36328125" customWidth="1"/>
    <col min="10" max="10" width="13.3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  <c r="G1" s="2" t="s">
        <v>9</v>
      </c>
      <c r="H1" s="1" t="s">
        <v>5</v>
      </c>
      <c r="I1" s="1" t="s">
        <v>6</v>
      </c>
      <c r="J1" s="1" t="s">
        <v>7</v>
      </c>
    </row>
    <row r="2" spans="1:10" x14ac:dyDescent="0.35">
      <c r="A2" s="1">
        <v>1.1000000000000001</v>
      </c>
      <c r="B2" s="1">
        <v>47</v>
      </c>
      <c r="C2" s="1">
        <v>0</v>
      </c>
      <c r="D2" s="1">
        <v>0</v>
      </c>
      <c r="E2" s="1">
        <f>B2+C2+D2</f>
        <v>47</v>
      </c>
      <c r="F2" s="2">
        <v>530</v>
      </c>
      <c r="G2" s="2">
        <v>9696</v>
      </c>
      <c r="H2">
        <f>G2+F2</f>
        <v>10226</v>
      </c>
      <c r="I2" s="1">
        <v>10179</v>
      </c>
      <c r="J2">
        <f>H2-I2</f>
        <v>47</v>
      </c>
    </row>
    <row r="3" spans="1:10" x14ac:dyDescent="0.35">
      <c r="A3" s="1">
        <v>2.1</v>
      </c>
      <c r="B3" s="1">
        <v>110</v>
      </c>
      <c r="C3" s="1">
        <v>42</v>
      </c>
      <c r="D3" s="1">
        <v>0</v>
      </c>
      <c r="E3" s="1">
        <f t="shared" ref="E3:E32" si="0">B3+C3+D3</f>
        <v>152</v>
      </c>
      <c r="F3" s="2">
        <v>4479</v>
      </c>
      <c r="G3" s="2">
        <v>7714</v>
      </c>
      <c r="H3">
        <f t="shared" ref="H3:H32" si="1">G3+F3</f>
        <v>12193</v>
      </c>
      <c r="I3" s="1">
        <v>11873</v>
      </c>
      <c r="J3">
        <f t="shared" ref="J3:J32" si="2">H3-I3</f>
        <v>320</v>
      </c>
    </row>
    <row r="4" spans="1:10" x14ac:dyDescent="0.35">
      <c r="A4" s="1">
        <v>3.1</v>
      </c>
      <c r="B4" s="1">
        <v>0</v>
      </c>
      <c r="C4" s="1">
        <v>3</v>
      </c>
      <c r="D4" s="1">
        <v>63</v>
      </c>
      <c r="E4" s="1">
        <f t="shared" si="0"/>
        <v>66</v>
      </c>
      <c r="F4" s="2">
        <v>586</v>
      </c>
      <c r="G4" s="2">
        <v>13214</v>
      </c>
      <c r="H4">
        <f>G4+F4</f>
        <v>13800</v>
      </c>
      <c r="I4">
        <v>13732</v>
      </c>
      <c r="J4">
        <f t="shared" si="2"/>
        <v>68</v>
      </c>
    </row>
    <row r="5" spans="1:10" x14ac:dyDescent="0.35">
      <c r="A5" s="1">
        <v>4.0999999999999996</v>
      </c>
      <c r="B5" s="1">
        <v>9</v>
      </c>
      <c r="C5" s="1">
        <v>6</v>
      </c>
      <c r="D5" s="1">
        <v>-8</v>
      </c>
      <c r="E5" s="1">
        <f t="shared" si="0"/>
        <v>7</v>
      </c>
      <c r="F5" s="2">
        <v>900</v>
      </c>
      <c r="G5" s="2">
        <v>10315</v>
      </c>
      <c r="H5">
        <f>G5+F5</f>
        <v>11215</v>
      </c>
      <c r="I5" s="1">
        <v>11208</v>
      </c>
      <c r="J5">
        <f t="shared" si="2"/>
        <v>7</v>
      </c>
    </row>
    <row r="6" spans="1:10" x14ac:dyDescent="0.35">
      <c r="A6" s="1">
        <v>5.0999999999999996</v>
      </c>
      <c r="B6" s="1">
        <v>6</v>
      </c>
      <c r="C6" s="1">
        <v>0</v>
      </c>
      <c r="D6" s="1">
        <v>0</v>
      </c>
      <c r="E6" s="1">
        <f t="shared" si="0"/>
        <v>6</v>
      </c>
      <c r="F6" s="2">
        <v>1981</v>
      </c>
      <c r="G6" s="2">
        <v>8718</v>
      </c>
      <c r="H6">
        <f t="shared" si="1"/>
        <v>10699</v>
      </c>
      <c r="I6" s="1">
        <v>10692</v>
      </c>
      <c r="J6">
        <f t="shared" si="2"/>
        <v>7</v>
      </c>
    </row>
    <row r="7" spans="1:10" x14ac:dyDescent="0.35">
      <c r="A7" s="1">
        <v>6.1</v>
      </c>
      <c r="B7" s="1">
        <v>0</v>
      </c>
      <c r="C7" s="1">
        <v>95</v>
      </c>
      <c r="D7" s="1">
        <v>0</v>
      </c>
      <c r="E7" s="1">
        <f t="shared" si="0"/>
        <v>95</v>
      </c>
      <c r="F7" s="2">
        <v>2713</v>
      </c>
      <c r="G7" s="2">
        <v>7116</v>
      </c>
      <c r="H7">
        <f t="shared" si="1"/>
        <v>9829</v>
      </c>
      <c r="I7" s="1">
        <v>9753</v>
      </c>
      <c r="J7">
        <f t="shared" si="2"/>
        <v>76</v>
      </c>
    </row>
    <row r="8" spans="1:10" x14ac:dyDescent="0.35">
      <c r="A8" s="1">
        <v>7.1</v>
      </c>
      <c r="B8" s="1">
        <v>0</v>
      </c>
      <c r="C8" s="1">
        <v>0</v>
      </c>
      <c r="D8" s="1">
        <v>11</v>
      </c>
      <c r="E8" s="1">
        <f t="shared" si="0"/>
        <v>11</v>
      </c>
      <c r="F8" s="2">
        <v>468</v>
      </c>
      <c r="G8" s="2">
        <v>13097</v>
      </c>
      <c r="H8">
        <f>G8+F8</f>
        <v>13565</v>
      </c>
      <c r="I8" s="1">
        <v>13554</v>
      </c>
      <c r="J8">
        <f t="shared" si="2"/>
        <v>11</v>
      </c>
    </row>
    <row r="9" spans="1:10" x14ac:dyDescent="0.35">
      <c r="A9" s="1">
        <v>8.1</v>
      </c>
      <c r="E9" s="1">
        <f t="shared" si="0"/>
        <v>0</v>
      </c>
      <c r="F9" s="2">
        <v>3477</v>
      </c>
      <c r="G9" s="2">
        <v>9911</v>
      </c>
      <c r="H9">
        <f t="shared" si="1"/>
        <v>13388</v>
      </c>
      <c r="I9" s="1">
        <v>13194</v>
      </c>
      <c r="J9">
        <f t="shared" si="2"/>
        <v>194</v>
      </c>
    </row>
    <row r="10" spans="1:10" x14ac:dyDescent="0.35">
      <c r="A10" s="1">
        <v>9.1</v>
      </c>
      <c r="E10" s="1">
        <f t="shared" si="0"/>
        <v>0</v>
      </c>
      <c r="F10" s="2">
        <v>778</v>
      </c>
      <c r="G10" s="2">
        <v>11095</v>
      </c>
      <c r="H10">
        <f t="shared" si="1"/>
        <v>11873</v>
      </c>
      <c r="I10" s="1">
        <v>11873</v>
      </c>
      <c r="J10">
        <f t="shared" si="2"/>
        <v>0</v>
      </c>
    </row>
    <row r="11" spans="1:10" x14ac:dyDescent="0.35">
      <c r="A11" s="1">
        <v>10.1</v>
      </c>
      <c r="E11" s="1">
        <f t="shared" si="0"/>
        <v>0</v>
      </c>
      <c r="F11" s="2">
        <v>1939</v>
      </c>
      <c r="G11" s="2">
        <v>9163</v>
      </c>
      <c r="H11">
        <f t="shared" si="1"/>
        <v>11102</v>
      </c>
      <c r="I11" s="1">
        <v>11102</v>
      </c>
      <c r="J11">
        <f t="shared" si="2"/>
        <v>0</v>
      </c>
    </row>
    <row r="12" spans="1:10" x14ac:dyDescent="0.35">
      <c r="A12" s="1">
        <v>11.1</v>
      </c>
      <c r="E12" s="1">
        <f t="shared" si="0"/>
        <v>0</v>
      </c>
      <c r="F12" s="2">
        <v>2308</v>
      </c>
      <c r="G12" s="2">
        <v>4542</v>
      </c>
      <c r="H12">
        <f t="shared" si="1"/>
        <v>6850</v>
      </c>
      <c r="I12" s="1">
        <v>6679</v>
      </c>
      <c r="J12">
        <f t="shared" si="2"/>
        <v>171</v>
      </c>
    </row>
    <row r="13" spans="1:10" x14ac:dyDescent="0.35">
      <c r="A13" s="1">
        <v>12.1</v>
      </c>
      <c r="B13" s="1">
        <v>6</v>
      </c>
      <c r="C13" s="1">
        <v>20</v>
      </c>
      <c r="D13" s="1">
        <v>0</v>
      </c>
      <c r="E13" s="1">
        <f t="shared" si="0"/>
        <v>26</v>
      </c>
      <c r="F13" s="2">
        <v>2358</v>
      </c>
      <c r="G13" s="2">
        <v>4931</v>
      </c>
      <c r="H13">
        <f t="shared" si="1"/>
        <v>7289</v>
      </c>
      <c r="I13" s="1">
        <v>7263</v>
      </c>
      <c r="J13">
        <f t="shared" si="2"/>
        <v>26</v>
      </c>
    </row>
    <row r="14" spans="1:10" x14ac:dyDescent="0.35">
      <c r="A14" s="1">
        <v>13.1</v>
      </c>
      <c r="C14" s="1">
        <v>32</v>
      </c>
      <c r="D14" s="1">
        <v>168</v>
      </c>
      <c r="E14" s="1">
        <f t="shared" si="0"/>
        <v>200</v>
      </c>
      <c r="F14" s="2">
        <v>2412</v>
      </c>
      <c r="G14" s="2">
        <v>14030</v>
      </c>
      <c r="H14">
        <f t="shared" si="1"/>
        <v>16442</v>
      </c>
      <c r="I14" s="1">
        <v>16242</v>
      </c>
      <c r="J14">
        <f t="shared" si="2"/>
        <v>200</v>
      </c>
    </row>
    <row r="15" spans="1:10" x14ac:dyDescent="0.35">
      <c r="A15" s="1">
        <v>14.1</v>
      </c>
      <c r="E15" s="1">
        <f t="shared" si="0"/>
        <v>0</v>
      </c>
      <c r="F15" s="2">
        <v>2430</v>
      </c>
      <c r="G15" s="2">
        <v>14621</v>
      </c>
      <c r="H15">
        <f t="shared" si="1"/>
        <v>17051</v>
      </c>
      <c r="I15" s="1">
        <v>16894</v>
      </c>
      <c r="J15">
        <f t="shared" si="2"/>
        <v>157</v>
      </c>
    </row>
    <row r="16" spans="1:10" x14ac:dyDescent="0.35">
      <c r="A16" s="1">
        <v>15.1</v>
      </c>
      <c r="E16" s="1">
        <f t="shared" si="0"/>
        <v>0</v>
      </c>
      <c r="F16" s="2">
        <v>3243</v>
      </c>
      <c r="G16" s="2">
        <v>12414</v>
      </c>
      <c r="H16">
        <f t="shared" si="1"/>
        <v>15657</v>
      </c>
      <c r="I16" s="1">
        <v>15880</v>
      </c>
      <c r="J16">
        <f t="shared" si="2"/>
        <v>-223</v>
      </c>
    </row>
    <row r="17" spans="1:10" x14ac:dyDescent="0.35">
      <c r="A17" s="1">
        <v>16.100000000000001</v>
      </c>
      <c r="E17" s="1">
        <f t="shared" si="0"/>
        <v>0</v>
      </c>
      <c r="F17" s="2">
        <v>823</v>
      </c>
      <c r="G17" s="2">
        <v>8922</v>
      </c>
      <c r="H17">
        <f t="shared" si="1"/>
        <v>9745</v>
      </c>
      <c r="I17" s="1">
        <v>9591</v>
      </c>
      <c r="J17">
        <f t="shared" si="2"/>
        <v>154</v>
      </c>
    </row>
    <row r="18" spans="1:10" x14ac:dyDescent="0.35">
      <c r="A18" s="1">
        <v>17.100000000000001</v>
      </c>
      <c r="E18" s="1">
        <f t="shared" si="0"/>
        <v>0</v>
      </c>
      <c r="F18" s="2">
        <v>2281</v>
      </c>
      <c r="G18" s="2">
        <v>9178</v>
      </c>
      <c r="H18">
        <f t="shared" si="1"/>
        <v>11459</v>
      </c>
      <c r="I18" s="1">
        <v>11310</v>
      </c>
      <c r="J18">
        <f t="shared" si="2"/>
        <v>149</v>
      </c>
    </row>
    <row r="19" spans="1:10" x14ac:dyDescent="0.35">
      <c r="A19" s="1">
        <v>18.100000000000001</v>
      </c>
      <c r="E19" s="1">
        <f t="shared" si="0"/>
        <v>0</v>
      </c>
      <c r="F19" s="2">
        <v>2037</v>
      </c>
      <c r="G19" s="2">
        <v>5839</v>
      </c>
      <c r="H19">
        <f t="shared" si="1"/>
        <v>7876</v>
      </c>
      <c r="I19" s="1">
        <v>7885</v>
      </c>
      <c r="J19">
        <f t="shared" si="2"/>
        <v>-9</v>
      </c>
    </row>
    <row r="20" spans="1:10" x14ac:dyDescent="0.35">
      <c r="A20" s="1">
        <v>19.100000000000001</v>
      </c>
      <c r="E20" s="1">
        <f t="shared" si="0"/>
        <v>0</v>
      </c>
      <c r="F20" s="2">
        <v>1654</v>
      </c>
      <c r="G20" s="2">
        <v>7487</v>
      </c>
      <c r="H20">
        <f t="shared" si="1"/>
        <v>9141</v>
      </c>
      <c r="I20" s="1">
        <v>9128</v>
      </c>
      <c r="J20">
        <f t="shared" si="2"/>
        <v>13</v>
      </c>
    </row>
    <row r="21" spans="1:10" x14ac:dyDescent="0.35">
      <c r="A21" s="1">
        <v>20.100000000000001</v>
      </c>
      <c r="E21" s="1">
        <f t="shared" si="0"/>
        <v>0</v>
      </c>
      <c r="F21" s="2">
        <v>6287</v>
      </c>
      <c r="G21" s="2">
        <v>11128</v>
      </c>
      <c r="H21">
        <f t="shared" si="1"/>
        <v>17415</v>
      </c>
      <c r="I21" s="1">
        <v>17393</v>
      </c>
      <c r="J21">
        <f t="shared" si="2"/>
        <v>22</v>
      </c>
    </row>
    <row r="22" spans="1:10" x14ac:dyDescent="0.35">
      <c r="A22" s="1">
        <v>21.1</v>
      </c>
      <c r="E22" s="1">
        <f t="shared" si="0"/>
        <v>0</v>
      </c>
      <c r="F22" s="2">
        <v>2584</v>
      </c>
      <c r="G22" s="2">
        <v>7748</v>
      </c>
      <c r="H22">
        <f t="shared" si="1"/>
        <v>10332</v>
      </c>
      <c r="I22" s="1">
        <v>10344</v>
      </c>
      <c r="J22">
        <f t="shared" si="2"/>
        <v>-12</v>
      </c>
    </row>
    <row r="23" spans="1:10" x14ac:dyDescent="0.35">
      <c r="A23" s="1">
        <v>22.1</v>
      </c>
      <c r="E23" s="1">
        <f t="shared" si="0"/>
        <v>0</v>
      </c>
      <c r="F23" s="2">
        <v>2035</v>
      </c>
      <c r="G23" s="2">
        <v>7886</v>
      </c>
      <c r="H23">
        <f t="shared" si="1"/>
        <v>9921</v>
      </c>
      <c r="I23" s="1">
        <v>9599</v>
      </c>
      <c r="J23">
        <f t="shared" si="2"/>
        <v>322</v>
      </c>
    </row>
    <row r="24" spans="1:10" x14ac:dyDescent="0.35">
      <c r="A24" s="1">
        <v>23.1</v>
      </c>
      <c r="E24" s="1">
        <f t="shared" si="0"/>
        <v>0</v>
      </c>
      <c r="F24" s="2">
        <v>9979</v>
      </c>
      <c r="G24" s="2">
        <v>10697</v>
      </c>
      <c r="H24">
        <f t="shared" si="1"/>
        <v>20676</v>
      </c>
      <c r="I24" s="1">
        <v>20676</v>
      </c>
      <c r="J24">
        <f t="shared" si="2"/>
        <v>0</v>
      </c>
    </row>
    <row r="25" spans="1:10" x14ac:dyDescent="0.35">
      <c r="A25" s="1">
        <v>24.1</v>
      </c>
      <c r="E25" s="1">
        <f t="shared" si="0"/>
        <v>0</v>
      </c>
      <c r="F25" s="2">
        <v>1550</v>
      </c>
      <c r="G25" s="2">
        <v>9181</v>
      </c>
      <c r="H25">
        <f t="shared" si="1"/>
        <v>10731</v>
      </c>
      <c r="I25" s="1">
        <v>10674</v>
      </c>
      <c r="J25">
        <f t="shared" si="2"/>
        <v>57</v>
      </c>
    </row>
    <row r="26" spans="1:10" x14ac:dyDescent="0.35">
      <c r="A26" s="1">
        <v>25.1</v>
      </c>
      <c r="B26" s="1">
        <v>5</v>
      </c>
      <c r="C26" s="1">
        <v>0</v>
      </c>
      <c r="D26" s="1">
        <v>0</v>
      </c>
      <c r="E26" s="1">
        <f t="shared" si="0"/>
        <v>5</v>
      </c>
      <c r="F26" s="2">
        <v>4775</v>
      </c>
      <c r="G26" s="2">
        <v>14342</v>
      </c>
      <c r="H26">
        <f t="shared" si="1"/>
        <v>19117</v>
      </c>
      <c r="I26" s="1">
        <v>18973</v>
      </c>
      <c r="J26">
        <f>H26-I26</f>
        <v>144</v>
      </c>
    </row>
    <row r="27" spans="1:10" x14ac:dyDescent="0.35">
      <c r="A27" s="1">
        <v>26.1</v>
      </c>
      <c r="B27" s="1">
        <v>9</v>
      </c>
      <c r="C27" s="1">
        <v>4</v>
      </c>
      <c r="D27" s="1">
        <v>5</v>
      </c>
      <c r="E27" s="1">
        <f t="shared" si="0"/>
        <v>18</v>
      </c>
      <c r="F27" s="2">
        <v>208</v>
      </c>
      <c r="G27" s="2">
        <v>5303</v>
      </c>
      <c r="H27">
        <f t="shared" si="1"/>
        <v>5511</v>
      </c>
      <c r="I27" s="1">
        <v>5503</v>
      </c>
      <c r="J27">
        <f>H27-I27</f>
        <v>8</v>
      </c>
    </row>
    <row r="28" spans="1:10" x14ac:dyDescent="0.35">
      <c r="A28" s="1">
        <v>27.1</v>
      </c>
      <c r="B28" s="1">
        <v>0</v>
      </c>
      <c r="C28" s="1">
        <v>275</v>
      </c>
      <c r="D28" s="1">
        <v>0</v>
      </c>
      <c r="E28" s="1">
        <f t="shared" si="0"/>
        <v>275</v>
      </c>
      <c r="F28" s="2">
        <v>5100</v>
      </c>
      <c r="G28" s="2">
        <v>7325</v>
      </c>
      <c r="H28">
        <f t="shared" si="1"/>
        <v>12425</v>
      </c>
      <c r="I28" s="1">
        <v>12106</v>
      </c>
      <c r="J28">
        <f t="shared" si="2"/>
        <v>319</v>
      </c>
    </row>
    <row r="29" spans="1:10" x14ac:dyDescent="0.35">
      <c r="A29" s="1">
        <v>28.1</v>
      </c>
      <c r="B29" s="1">
        <v>0</v>
      </c>
      <c r="C29" s="1">
        <v>0</v>
      </c>
      <c r="D29" s="1">
        <v>0</v>
      </c>
      <c r="E29" s="1">
        <f t="shared" si="0"/>
        <v>0</v>
      </c>
      <c r="F29" s="2">
        <v>285</v>
      </c>
      <c r="G29" s="2">
        <v>21760</v>
      </c>
      <c r="H29">
        <f t="shared" si="1"/>
        <v>22045</v>
      </c>
      <c r="I29" s="1">
        <v>21795</v>
      </c>
      <c r="J29">
        <f t="shared" si="2"/>
        <v>250</v>
      </c>
    </row>
    <row r="30" spans="1:10" x14ac:dyDescent="0.35">
      <c r="A30" s="1">
        <v>29.1</v>
      </c>
      <c r="E30" s="1">
        <f t="shared" si="0"/>
        <v>0</v>
      </c>
      <c r="H30">
        <f t="shared" si="1"/>
        <v>0</v>
      </c>
      <c r="I30" s="1"/>
      <c r="J30">
        <f t="shared" si="2"/>
        <v>0</v>
      </c>
    </row>
    <row r="31" spans="1:10" x14ac:dyDescent="0.35">
      <c r="A31" s="1">
        <v>30.1</v>
      </c>
      <c r="E31" s="1">
        <f t="shared" si="0"/>
        <v>0</v>
      </c>
      <c r="H31">
        <f t="shared" si="1"/>
        <v>0</v>
      </c>
      <c r="I31" s="1"/>
      <c r="J31">
        <f t="shared" si="2"/>
        <v>0</v>
      </c>
    </row>
    <row r="32" spans="1:10" x14ac:dyDescent="0.35">
      <c r="A32" s="1">
        <v>31.1</v>
      </c>
      <c r="E32" s="1">
        <f t="shared" si="0"/>
        <v>0</v>
      </c>
      <c r="H32">
        <f t="shared" si="1"/>
        <v>0</v>
      </c>
      <c r="I32" s="1"/>
      <c r="J32">
        <f t="shared" si="2"/>
        <v>0</v>
      </c>
    </row>
    <row r="33" spans="5:5" x14ac:dyDescent="0.35">
      <c r="E33" s="1">
        <f>SUM(E26:E28)</f>
        <v>298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C56" sqref="C56"/>
    </sheetView>
  </sheetViews>
  <sheetFormatPr defaultColWidth="8.81640625" defaultRowHeight="14.5" x14ac:dyDescent="0.35"/>
  <cols>
    <col min="1" max="1" width="12" style="1" customWidth="1"/>
    <col min="2" max="2" width="14" style="1" customWidth="1"/>
    <col min="3" max="3" width="15.453125" style="1" customWidth="1"/>
    <col min="4" max="4" width="14.81640625" style="1" customWidth="1"/>
    <col min="5" max="5" width="16" style="1" customWidth="1"/>
    <col min="6" max="7" width="16.453125" customWidth="1"/>
    <col min="8" max="8" width="23.453125" customWidth="1"/>
    <col min="9" max="9" width="18.36328125" customWidth="1"/>
    <col min="10" max="10" width="13.3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7</v>
      </c>
    </row>
    <row r="2" spans="1:10" x14ac:dyDescent="0.35">
      <c r="E2" s="1">
        <f>B2+C2+D2</f>
        <v>0</v>
      </c>
      <c r="J2">
        <f t="shared" ref="J2:J10" si="0">H2-I2</f>
        <v>0</v>
      </c>
    </row>
    <row r="3" spans="1:10" x14ac:dyDescent="0.35">
      <c r="C3" s="1">
        <v>131</v>
      </c>
      <c r="E3" s="1">
        <f>B3+C3+D3</f>
        <v>131</v>
      </c>
      <c r="H3">
        <v>21653</v>
      </c>
      <c r="I3">
        <v>21540</v>
      </c>
      <c r="J3">
        <f t="shared" si="0"/>
        <v>113</v>
      </c>
    </row>
    <row r="4" spans="1:10" x14ac:dyDescent="0.35">
      <c r="A4" s="1">
        <v>29.11</v>
      </c>
      <c r="B4" s="1">
        <v>29</v>
      </c>
      <c r="D4" s="1">
        <v>20</v>
      </c>
      <c r="E4" s="1">
        <f>B4+C4+D4</f>
        <v>49</v>
      </c>
      <c r="H4">
        <v>17864</v>
      </c>
      <c r="I4">
        <v>17814</v>
      </c>
      <c r="J4">
        <f t="shared" si="0"/>
        <v>50</v>
      </c>
    </row>
    <row r="5" spans="1:10" x14ac:dyDescent="0.35">
      <c r="A5" s="1">
        <v>30.11</v>
      </c>
      <c r="B5" s="1">
        <v>223</v>
      </c>
      <c r="C5" s="1">
        <v>112</v>
      </c>
      <c r="D5" s="1">
        <v>250</v>
      </c>
      <c r="E5" s="1">
        <f>B5+C5+D5</f>
        <v>585</v>
      </c>
      <c r="H5" s="1">
        <v>12863</v>
      </c>
      <c r="I5" s="1">
        <v>12278</v>
      </c>
      <c r="J5">
        <f t="shared" si="0"/>
        <v>585</v>
      </c>
    </row>
    <row r="6" spans="1:10" x14ac:dyDescent="0.35">
      <c r="A6" s="1">
        <v>1.1200000000000001</v>
      </c>
      <c r="B6" s="1">
        <v>127</v>
      </c>
      <c r="C6" s="1">
        <v>5</v>
      </c>
      <c r="D6" s="1">
        <v>0</v>
      </c>
      <c r="E6" s="1">
        <f t="shared" ref="E6:E36" si="1">B6+C6+D6</f>
        <v>132</v>
      </c>
      <c r="F6" s="1">
        <v>3940</v>
      </c>
      <c r="G6">
        <v>13625</v>
      </c>
      <c r="H6">
        <f>G6+F6</f>
        <v>17565</v>
      </c>
      <c r="I6">
        <v>17529</v>
      </c>
      <c r="J6">
        <f t="shared" si="0"/>
        <v>36</v>
      </c>
    </row>
    <row r="7" spans="1:10" x14ac:dyDescent="0.35">
      <c r="A7" s="1">
        <v>2.12</v>
      </c>
      <c r="B7" s="1">
        <v>0</v>
      </c>
      <c r="C7" s="1">
        <v>69</v>
      </c>
      <c r="D7" s="1">
        <v>0</v>
      </c>
      <c r="E7" s="1">
        <f t="shared" si="1"/>
        <v>69</v>
      </c>
      <c r="F7">
        <v>4808</v>
      </c>
      <c r="G7">
        <v>13271</v>
      </c>
      <c r="H7">
        <f t="shared" ref="H7:H36" si="2">G7+F7</f>
        <v>18079</v>
      </c>
      <c r="I7">
        <v>17869</v>
      </c>
      <c r="J7">
        <f t="shared" si="0"/>
        <v>210</v>
      </c>
    </row>
    <row r="8" spans="1:10" x14ac:dyDescent="0.35">
      <c r="A8" s="1">
        <v>3.12</v>
      </c>
      <c r="B8" s="1">
        <v>0</v>
      </c>
      <c r="C8" s="1">
        <v>32</v>
      </c>
      <c r="D8" s="1">
        <v>35</v>
      </c>
      <c r="E8" s="1">
        <f t="shared" si="1"/>
        <v>67</v>
      </c>
      <c r="F8">
        <v>1968</v>
      </c>
      <c r="G8">
        <v>17197</v>
      </c>
      <c r="H8">
        <f t="shared" si="2"/>
        <v>19165</v>
      </c>
      <c r="I8">
        <v>19116</v>
      </c>
      <c r="J8">
        <f t="shared" si="0"/>
        <v>49</v>
      </c>
    </row>
    <row r="9" spans="1:10" x14ac:dyDescent="0.35">
      <c r="A9" s="1">
        <v>4.12</v>
      </c>
      <c r="B9" s="1">
        <v>103</v>
      </c>
      <c r="C9" s="1">
        <v>185</v>
      </c>
      <c r="D9" s="1">
        <v>0</v>
      </c>
      <c r="E9" s="1">
        <f t="shared" si="1"/>
        <v>288</v>
      </c>
      <c r="F9">
        <v>3292</v>
      </c>
      <c r="G9">
        <v>17737</v>
      </c>
      <c r="H9">
        <f t="shared" si="2"/>
        <v>21029</v>
      </c>
      <c r="I9">
        <v>20383</v>
      </c>
      <c r="J9">
        <f t="shared" si="0"/>
        <v>646</v>
      </c>
    </row>
    <row r="10" spans="1:10" x14ac:dyDescent="0.35">
      <c r="A10" s="1">
        <v>5.12</v>
      </c>
      <c r="B10" s="1">
        <v>61</v>
      </c>
      <c r="C10" s="1">
        <v>0</v>
      </c>
      <c r="D10" s="1">
        <v>0</v>
      </c>
      <c r="E10" s="1">
        <f t="shared" si="1"/>
        <v>61</v>
      </c>
      <c r="F10">
        <v>2495</v>
      </c>
      <c r="G10">
        <v>16594</v>
      </c>
      <c r="H10">
        <f t="shared" si="2"/>
        <v>19089</v>
      </c>
      <c r="I10">
        <v>18893</v>
      </c>
      <c r="J10">
        <f t="shared" si="0"/>
        <v>196</v>
      </c>
    </row>
    <row r="11" spans="1:10" x14ac:dyDescent="0.35">
      <c r="A11" s="1">
        <v>6.12</v>
      </c>
      <c r="B11" s="1">
        <v>0</v>
      </c>
      <c r="C11" s="1">
        <v>35</v>
      </c>
      <c r="D11" s="1">
        <v>11</v>
      </c>
      <c r="E11" s="1">
        <f t="shared" si="1"/>
        <v>46</v>
      </c>
      <c r="F11" s="1">
        <v>2212</v>
      </c>
      <c r="G11">
        <v>16124</v>
      </c>
      <c r="H11">
        <f t="shared" si="2"/>
        <v>18336</v>
      </c>
      <c r="I11">
        <v>18200</v>
      </c>
      <c r="J11">
        <f t="shared" ref="J11:J36" si="3">H11-I11</f>
        <v>136</v>
      </c>
    </row>
    <row r="12" spans="1:10" x14ac:dyDescent="0.35">
      <c r="A12" s="1">
        <v>7.12</v>
      </c>
      <c r="B12" s="1">
        <v>33</v>
      </c>
      <c r="C12" s="1">
        <v>5</v>
      </c>
      <c r="D12" s="1">
        <v>13</v>
      </c>
      <c r="E12" s="1">
        <f t="shared" si="1"/>
        <v>51</v>
      </c>
      <c r="F12" s="1">
        <v>4153</v>
      </c>
      <c r="G12" s="1">
        <v>10612</v>
      </c>
      <c r="H12">
        <f t="shared" si="2"/>
        <v>14765</v>
      </c>
      <c r="I12" s="1">
        <v>14712</v>
      </c>
      <c r="J12">
        <f t="shared" si="3"/>
        <v>53</v>
      </c>
    </row>
    <row r="13" spans="1:10" x14ac:dyDescent="0.35">
      <c r="A13" s="1">
        <v>8.1199999999999992</v>
      </c>
      <c r="B13" s="1">
        <v>27</v>
      </c>
      <c r="C13" s="1">
        <v>8</v>
      </c>
      <c r="D13" s="1">
        <v>76</v>
      </c>
      <c r="E13" s="1">
        <f t="shared" si="1"/>
        <v>111</v>
      </c>
      <c r="F13" s="1">
        <v>2118</v>
      </c>
      <c r="G13" s="1">
        <v>9161</v>
      </c>
      <c r="H13">
        <f t="shared" si="2"/>
        <v>11279</v>
      </c>
      <c r="I13" s="1">
        <v>11148</v>
      </c>
      <c r="J13">
        <f t="shared" si="3"/>
        <v>131</v>
      </c>
    </row>
    <row r="14" spans="1:10" x14ac:dyDescent="0.35">
      <c r="A14" s="1">
        <v>9.1199999999999992</v>
      </c>
      <c r="B14" s="1">
        <v>107</v>
      </c>
      <c r="C14" s="1">
        <v>58</v>
      </c>
      <c r="D14" s="1">
        <v>0</v>
      </c>
      <c r="E14" s="1">
        <f t="shared" si="1"/>
        <v>165</v>
      </c>
      <c r="F14" s="1">
        <v>3667</v>
      </c>
      <c r="G14" s="1">
        <v>16146</v>
      </c>
      <c r="H14">
        <f t="shared" si="2"/>
        <v>19813</v>
      </c>
      <c r="I14" s="1">
        <v>19652</v>
      </c>
      <c r="J14">
        <f t="shared" si="3"/>
        <v>161</v>
      </c>
    </row>
    <row r="15" spans="1:10" x14ac:dyDescent="0.35">
      <c r="A15" s="1">
        <v>10.119999999999999</v>
      </c>
      <c r="B15" s="1">
        <v>38</v>
      </c>
      <c r="C15" s="1">
        <v>0</v>
      </c>
      <c r="D15" s="1">
        <v>24</v>
      </c>
      <c r="E15" s="1">
        <f t="shared" si="1"/>
        <v>62</v>
      </c>
      <c r="F15">
        <v>2285</v>
      </c>
      <c r="G15" s="1">
        <v>17783</v>
      </c>
      <c r="H15">
        <f>G15+F15</f>
        <v>20068</v>
      </c>
      <c r="I15" s="1">
        <v>20006</v>
      </c>
      <c r="J15">
        <f t="shared" si="3"/>
        <v>62</v>
      </c>
    </row>
    <row r="16" spans="1:10" x14ac:dyDescent="0.35">
      <c r="A16" s="1">
        <v>11.12</v>
      </c>
      <c r="B16" s="1">
        <v>102</v>
      </c>
      <c r="C16" s="1">
        <v>122</v>
      </c>
      <c r="E16" s="1">
        <f t="shared" si="1"/>
        <v>224</v>
      </c>
      <c r="F16" s="1">
        <v>4818</v>
      </c>
      <c r="G16" s="1">
        <v>17096</v>
      </c>
      <c r="H16">
        <f>G16+F16</f>
        <v>21914</v>
      </c>
      <c r="I16" s="1">
        <v>21627</v>
      </c>
      <c r="J16">
        <f t="shared" si="3"/>
        <v>287</v>
      </c>
    </row>
    <row r="17" spans="1:10" x14ac:dyDescent="0.35">
      <c r="A17" s="1">
        <v>12.12</v>
      </c>
      <c r="B17" s="1">
        <v>0</v>
      </c>
      <c r="C17" s="1">
        <v>252</v>
      </c>
      <c r="D17" s="1">
        <v>0</v>
      </c>
      <c r="E17" s="1">
        <f t="shared" si="1"/>
        <v>252</v>
      </c>
      <c r="F17" s="1">
        <v>4459</v>
      </c>
      <c r="G17" s="1">
        <v>15097</v>
      </c>
      <c r="H17">
        <f t="shared" si="2"/>
        <v>19556</v>
      </c>
      <c r="I17" s="1">
        <v>19189</v>
      </c>
      <c r="J17">
        <f t="shared" si="3"/>
        <v>367</v>
      </c>
    </row>
    <row r="18" spans="1:10" x14ac:dyDescent="0.35">
      <c r="A18" s="1">
        <v>13.12</v>
      </c>
      <c r="B18" s="1">
        <v>126</v>
      </c>
      <c r="C18" s="1">
        <v>0</v>
      </c>
      <c r="D18" s="1">
        <v>0</v>
      </c>
      <c r="E18" s="1">
        <f t="shared" si="1"/>
        <v>126</v>
      </c>
      <c r="F18" s="1">
        <v>3749</v>
      </c>
      <c r="G18" s="1">
        <v>16725</v>
      </c>
      <c r="H18">
        <f t="shared" si="2"/>
        <v>20474</v>
      </c>
      <c r="I18" s="1">
        <v>20474</v>
      </c>
      <c r="J18">
        <f t="shared" si="3"/>
        <v>0</v>
      </c>
    </row>
    <row r="19" spans="1:10" x14ac:dyDescent="0.35">
      <c r="A19" s="1">
        <v>14.12</v>
      </c>
      <c r="B19" s="1">
        <v>0</v>
      </c>
      <c r="C19" s="1">
        <v>0</v>
      </c>
      <c r="D19" s="1">
        <v>12</v>
      </c>
      <c r="E19" s="1">
        <f t="shared" si="1"/>
        <v>12</v>
      </c>
      <c r="F19" s="1">
        <v>2582</v>
      </c>
      <c r="G19" s="1">
        <v>8733</v>
      </c>
      <c r="H19">
        <f t="shared" si="2"/>
        <v>11315</v>
      </c>
      <c r="I19" s="1">
        <v>11309</v>
      </c>
      <c r="J19">
        <f t="shared" si="3"/>
        <v>6</v>
      </c>
    </row>
    <row r="20" spans="1:10" x14ac:dyDescent="0.35">
      <c r="A20" s="1">
        <v>15.12</v>
      </c>
      <c r="E20" s="1">
        <f t="shared" si="1"/>
        <v>0</v>
      </c>
      <c r="F20" s="1">
        <v>6262</v>
      </c>
      <c r="G20" s="1">
        <v>15024</v>
      </c>
      <c r="H20">
        <f t="shared" si="2"/>
        <v>21286</v>
      </c>
      <c r="I20" s="1">
        <v>21179</v>
      </c>
      <c r="J20">
        <f t="shared" si="3"/>
        <v>107</v>
      </c>
    </row>
    <row r="21" spans="1:10" x14ac:dyDescent="0.35">
      <c r="A21" s="1">
        <v>16.12</v>
      </c>
      <c r="B21" s="1">
        <v>0</v>
      </c>
      <c r="C21" s="1">
        <v>123</v>
      </c>
      <c r="D21" s="1">
        <v>0</v>
      </c>
      <c r="E21" s="1">
        <f t="shared" si="1"/>
        <v>123</v>
      </c>
      <c r="F21" s="1">
        <v>1579</v>
      </c>
      <c r="G21" s="1">
        <v>16954</v>
      </c>
      <c r="H21">
        <f t="shared" si="2"/>
        <v>18533</v>
      </c>
      <c r="I21" s="1">
        <v>18426</v>
      </c>
      <c r="J21">
        <f t="shared" si="3"/>
        <v>107</v>
      </c>
    </row>
    <row r="22" spans="1:10" x14ac:dyDescent="0.35">
      <c r="A22" s="1">
        <v>17.12</v>
      </c>
      <c r="B22" s="1">
        <v>0</v>
      </c>
      <c r="C22" s="1">
        <v>166</v>
      </c>
      <c r="D22" s="1">
        <v>0</v>
      </c>
      <c r="E22" s="1">
        <f t="shared" si="1"/>
        <v>166</v>
      </c>
      <c r="F22" s="1">
        <v>3723</v>
      </c>
      <c r="G22" s="1">
        <v>19746</v>
      </c>
      <c r="H22">
        <f t="shared" si="2"/>
        <v>23469</v>
      </c>
      <c r="I22" s="1">
        <v>23345</v>
      </c>
      <c r="J22">
        <f t="shared" si="3"/>
        <v>124</v>
      </c>
    </row>
    <row r="23" spans="1:10" x14ac:dyDescent="0.35">
      <c r="A23" s="1">
        <v>18.12</v>
      </c>
      <c r="E23" s="1">
        <f t="shared" si="1"/>
        <v>0</v>
      </c>
      <c r="F23" s="1">
        <v>3524</v>
      </c>
      <c r="G23" s="1">
        <v>15017</v>
      </c>
      <c r="H23">
        <f t="shared" si="2"/>
        <v>18541</v>
      </c>
      <c r="I23" s="1">
        <v>18165</v>
      </c>
      <c r="J23">
        <f t="shared" si="3"/>
        <v>376</v>
      </c>
    </row>
    <row r="24" spans="1:10" x14ac:dyDescent="0.35">
      <c r="A24" s="1">
        <v>19.12</v>
      </c>
      <c r="E24" s="1">
        <f t="shared" si="1"/>
        <v>0</v>
      </c>
      <c r="F24" s="1">
        <v>1128</v>
      </c>
      <c r="G24" s="1">
        <v>14633</v>
      </c>
      <c r="H24">
        <f t="shared" si="2"/>
        <v>15761</v>
      </c>
      <c r="I24" s="1">
        <v>15702</v>
      </c>
      <c r="J24">
        <f t="shared" si="3"/>
        <v>59</v>
      </c>
    </row>
    <row r="25" spans="1:10" x14ac:dyDescent="0.35">
      <c r="A25" s="1">
        <v>20.12</v>
      </c>
      <c r="C25" s="1">
        <v>49</v>
      </c>
      <c r="E25" s="1">
        <f t="shared" si="1"/>
        <v>49</v>
      </c>
      <c r="F25" s="1">
        <v>5790</v>
      </c>
      <c r="G25" s="1">
        <v>13798</v>
      </c>
      <c r="H25">
        <f t="shared" si="2"/>
        <v>19588</v>
      </c>
      <c r="I25" s="1">
        <v>19477</v>
      </c>
      <c r="J25">
        <f t="shared" si="3"/>
        <v>111</v>
      </c>
    </row>
    <row r="26" spans="1:10" x14ac:dyDescent="0.35">
      <c r="A26" s="1">
        <v>21.12</v>
      </c>
      <c r="E26" s="1">
        <f t="shared" si="1"/>
        <v>0</v>
      </c>
      <c r="F26" s="1">
        <v>1849</v>
      </c>
      <c r="G26" s="1">
        <v>7664</v>
      </c>
      <c r="H26">
        <f t="shared" si="2"/>
        <v>9513</v>
      </c>
      <c r="I26" s="1">
        <v>9458</v>
      </c>
      <c r="J26">
        <f t="shared" si="3"/>
        <v>55</v>
      </c>
    </row>
    <row r="27" spans="1:10" x14ac:dyDescent="0.35">
      <c r="A27" s="1">
        <v>22.12</v>
      </c>
      <c r="C27" s="1">
        <v>76</v>
      </c>
      <c r="E27" s="1">
        <f t="shared" si="1"/>
        <v>76</v>
      </c>
      <c r="F27" s="1">
        <v>6393</v>
      </c>
      <c r="G27" s="1">
        <v>7905</v>
      </c>
      <c r="H27">
        <f>G27+F27</f>
        <v>14298</v>
      </c>
      <c r="I27" s="1">
        <v>14126</v>
      </c>
      <c r="J27">
        <f t="shared" si="3"/>
        <v>172</v>
      </c>
    </row>
    <row r="28" spans="1:10" x14ac:dyDescent="0.35">
      <c r="A28" s="1">
        <v>23.12</v>
      </c>
      <c r="B28" s="1">
        <v>40</v>
      </c>
      <c r="E28" s="1">
        <f t="shared" si="1"/>
        <v>40</v>
      </c>
      <c r="F28" s="1">
        <v>737</v>
      </c>
      <c r="G28" s="1">
        <v>10494</v>
      </c>
      <c r="H28">
        <f>G28+F28</f>
        <v>11231</v>
      </c>
      <c r="I28" s="1">
        <v>11270</v>
      </c>
      <c r="J28">
        <f t="shared" si="3"/>
        <v>-39</v>
      </c>
    </row>
    <row r="29" spans="1:10" x14ac:dyDescent="0.35">
      <c r="A29" s="1">
        <v>24.12</v>
      </c>
      <c r="E29" s="1">
        <f t="shared" si="1"/>
        <v>0</v>
      </c>
      <c r="F29" s="1">
        <v>1936</v>
      </c>
      <c r="G29" s="1">
        <v>12830</v>
      </c>
      <c r="H29">
        <f t="shared" si="2"/>
        <v>14766</v>
      </c>
      <c r="I29" s="1">
        <v>14734</v>
      </c>
      <c r="J29">
        <f t="shared" si="3"/>
        <v>32</v>
      </c>
    </row>
    <row r="30" spans="1:10" x14ac:dyDescent="0.35">
      <c r="A30" s="1">
        <v>25.12</v>
      </c>
      <c r="B30" s="1">
        <v>44</v>
      </c>
      <c r="C30" s="1">
        <v>48</v>
      </c>
      <c r="D30" s="1">
        <v>21</v>
      </c>
      <c r="E30" s="1">
        <f t="shared" si="1"/>
        <v>113</v>
      </c>
      <c r="F30" s="1">
        <v>2650</v>
      </c>
      <c r="G30" s="1">
        <v>8800</v>
      </c>
      <c r="H30">
        <f t="shared" si="2"/>
        <v>11450</v>
      </c>
      <c r="I30" s="1">
        <v>11328</v>
      </c>
      <c r="J30">
        <f t="shared" si="3"/>
        <v>122</v>
      </c>
    </row>
    <row r="31" spans="1:10" x14ac:dyDescent="0.35">
      <c r="A31" s="1">
        <v>26.12</v>
      </c>
      <c r="E31" s="1">
        <f t="shared" si="1"/>
        <v>0</v>
      </c>
      <c r="F31">
        <v>3280</v>
      </c>
      <c r="G31" s="1">
        <v>8088</v>
      </c>
      <c r="H31">
        <f t="shared" si="2"/>
        <v>11368</v>
      </c>
      <c r="I31" s="1">
        <v>11397</v>
      </c>
      <c r="J31">
        <f t="shared" si="3"/>
        <v>-29</v>
      </c>
    </row>
    <row r="32" spans="1:10" x14ac:dyDescent="0.35">
      <c r="A32" s="1">
        <v>27.12</v>
      </c>
      <c r="B32" s="1">
        <v>0</v>
      </c>
      <c r="C32" s="1">
        <v>37</v>
      </c>
      <c r="D32" s="1">
        <v>-10</v>
      </c>
      <c r="E32" s="1">
        <f t="shared" si="1"/>
        <v>27</v>
      </c>
      <c r="F32" s="1">
        <v>1629</v>
      </c>
      <c r="G32" s="1">
        <v>5510</v>
      </c>
      <c r="H32">
        <f t="shared" si="2"/>
        <v>7139</v>
      </c>
      <c r="I32" s="1">
        <v>7112</v>
      </c>
      <c r="J32">
        <f t="shared" si="3"/>
        <v>27</v>
      </c>
    </row>
    <row r="33" spans="1:10" x14ac:dyDescent="0.35">
      <c r="A33" s="1">
        <v>28.12</v>
      </c>
      <c r="E33" s="1">
        <f t="shared" si="1"/>
        <v>0</v>
      </c>
      <c r="F33" s="1">
        <v>2366</v>
      </c>
      <c r="G33" s="1">
        <v>5291</v>
      </c>
      <c r="H33">
        <f t="shared" si="2"/>
        <v>7657</v>
      </c>
      <c r="I33" s="1">
        <v>7521</v>
      </c>
      <c r="J33">
        <f t="shared" si="3"/>
        <v>136</v>
      </c>
    </row>
    <row r="34" spans="1:10" x14ac:dyDescent="0.35">
      <c r="A34" s="1">
        <v>29.12</v>
      </c>
      <c r="E34" s="1">
        <f t="shared" si="1"/>
        <v>0</v>
      </c>
      <c r="F34" s="1">
        <v>310</v>
      </c>
      <c r="G34" s="1">
        <v>3844</v>
      </c>
      <c r="H34">
        <f t="shared" si="2"/>
        <v>4154</v>
      </c>
      <c r="I34" s="1">
        <v>3919</v>
      </c>
      <c r="J34">
        <f t="shared" si="3"/>
        <v>235</v>
      </c>
    </row>
    <row r="35" spans="1:10" x14ac:dyDescent="0.35">
      <c r="A35" s="1">
        <v>30.12</v>
      </c>
      <c r="B35" s="1">
        <v>96</v>
      </c>
      <c r="C35" s="1">
        <v>0</v>
      </c>
      <c r="D35" s="1">
        <v>33</v>
      </c>
      <c r="E35" s="1">
        <f t="shared" si="1"/>
        <v>129</v>
      </c>
      <c r="F35">
        <v>705</v>
      </c>
      <c r="G35" s="1">
        <v>8620</v>
      </c>
      <c r="H35">
        <f t="shared" si="2"/>
        <v>9325</v>
      </c>
      <c r="I35" s="1">
        <v>9196</v>
      </c>
      <c r="J35">
        <f t="shared" si="3"/>
        <v>129</v>
      </c>
    </row>
    <row r="36" spans="1:10" x14ac:dyDescent="0.35">
      <c r="A36" s="1">
        <v>31.12</v>
      </c>
      <c r="B36" s="1">
        <v>13</v>
      </c>
      <c r="D36" s="1">
        <v>0</v>
      </c>
      <c r="E36" s="1">
        <f t="shared" si="1"/>
        <v>13</v>
      </c>
      <c r="F36" s="1">
        <v>1520</v>
      </c>
      <c r="G36">
        <v>20121</v>
      </c>
      <c r="H36">
        <f t="shared" si="2"/>
        <v>21641</v>
      </c>
      <c r="I36" s="1">
        <v>21605</v>
      </c>
      <c r="J36">
        <f t="shared" si="3"/>
        <v>36</v>
      </c>
    </row>
    <row r="38" spans="1:10" x14ac:dyDescent="0.35">
      <c r="E38" s="1">
        <f>SUM(E2:E36)</f>
        <v>3167</v>
      </c>
      <c r="J38">
        <f>SUM(J3:J36)</f>
        <v>4848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thuốc tháng 6.2026</vt:lpstr>
      <vt:lpstr>thuốc tháng 5.2026</vt:lpstr>
      <vt:lpstr>thuốc tháng 4.2026</vt:lpstr>
      <vt:lpstr>thuốc tháng 3.2026</vt:lpstr>
      <vt:lpstr>thuốc tháng 2.2026</vt:lpstr>
      <vt:lpstr>thuốc tháng 1.2026</vt:lpstr>
      <vt:lpstr>thuốc tháng 12.2025</vt:lpstr>
      <vt:lpstr>thuốc tháng 11.2025</vt:lpstr>
      <vt:lpstr>thuốc tháng 10.2025</vt:lpstr>
      <vt:lpstr>thuốc tháng 9.2025</vt:lpstr>
      <vt:lpstr>thuốc tháng 8.2025</vt:lpstr>
      <vt:lpstr>thuốc tháng 7.2025</vt:lpstr>
      <vt:lpstr>thuốc tháng 6.2025 </vt:lpstr>
      <vt:lpstr>thuốc tháng 5.2025</vt:lpstr>
      <vt:lpstr>thuốc tháng 4.2025</vt:lpstr>
      <vt:lpstr>thuốc tháng 3.2025</vt:lpstr>
      <vt:lpstr>thuốc tháng 2.2025</vt:lpstr>
      <vt:lpstr>tháng 6.2025</vt:lpstr>
      <vt:lpstr>tháng 5.2025</vt:lpstr>
      <vt:lpstr>tháng 4.2025</vt:lpstr>
      <vt:lpstr>tháng 3.2025</vt:lpstr>
      <vt:lpstr>tháng 2.2025</vt:lpstr>
      <vt:lpstr>tháng 1</vt:lpstr>
      <vt:lpstr>tháng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Pham</dc:creator>
  <cp:lastModifiedBy>Long Pham</cp:lastModifiedBy>
  <dcterms:created xsi:type="dcterms:W3CDTF">2015-06-05T18:17:20Z</dcterms:created>
  <dcterms:modified xsi:type="dcterms:W3CDTF">2026-06-30T02:44:27Z</dcterms:modified>
</cp:coreProperties>
</file>